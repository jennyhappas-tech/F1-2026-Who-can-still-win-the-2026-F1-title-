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happ\Downloads\"/>
    </mc:Choice>
  </mc:AlternateContent>
  <xr:revisionPtr revIDLastSave="0" documentId="13_ncr:1_{0A91A5F0-022B-4271-A851-03C58BC4DFB8}" xr6:coauthVersionLast="47" xr6:coauthVersionMax="47" xr10:uidLastSave="{00000000-0000-0000-0000-000000000000}"/>
  <bookViews>
    <workbookView xWindow="-110" yWindow="-110" windowWidth="19420" windowHeight="11500" tabRatio="500" activeTab="1" xr2:uid="{00000000-000D-0000-FFFF-FFFF00000000}"/>
  </bookViews>
  <sheets>
    <sheet name="Title Race" sheetId="3" r:id="rId1"/>
    <sheet name="F1 Championship" sheetId="1" r:id="rId2"/>
    <sheet name="Points Reference" sheetId="2" r:id="rId3"/>
  </sheets>
  <definedNames>
    <definedName name="_xlnm._FilterDatabase" localSheetId="1" hidden="1">'F1 Championship'!$A$4:$O$27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2" i="3" l="1"/>
  <c r="C62" i="3" s="1"/>
  <c r="D62" i="3" s="1"/>
  <c r="E62" i="3" s="1"/>
  <c r="F62" i="3" s="1"/>
  <c r="G62" i="3" s="1"/>
  <c r="H62" i="3" s="1"/>
  <c r="I62" i="3" s="1"/>
  <c r="J62" i="3" s="1"/>
  <c r="A62" i="3"/>
  <c r="A89" i="3" s="1"/>
  <c r="B61" i="3"/>
  <c r="C61" i="3" s="1"/>
  <c r="D61" i="3" s="1"/>
  <c r="E61" i="3" s="1"/>
  <c r="F61" i="3" s="1"/>
  <c r="G61" i="3" s="1"/>
  <c r="H61" i="3" s="1"/>
  <c r="I61" i="3" s="1"/>
  <c r="J61" i="3" s="1"/>
  <c r="A61" i="3"/>
  <c r="A88" i="3" s="1"/>
  <c r="B60" i="3"/>
  <c r="A60" i="3"/>
  <c r="A87" i="3" s="1"/>
  <c r="B59" i="3"/>
  <c r="C59" i="3" s="1"/>
  <c r="D59" i="3" s="1"/>
  <c r="E59" i="3" s="1"/>
  <c r="F59" i="3" s="1"/>
  <c r="G59" i="3" s="1"/>
  <c r="H59" i="3" s="1"/>
  <c r="I59" i="3" s="1"/>
  <c r="J59" i="3" s="1"/>
  <c r="A59" i="3"/>
  <c r="A86" i="3" s="1"/>
  <c r="B58" i="3"/>
  <c r="C58" i="3" s="1"/>
  <c r="D58" i="3" s="1"/>
  <c r="E58" i="3" s="1"/>
  <c r="F58" i="3" s="1"/>
  <c r="G58" i="3" s="1"/>
  <c r="H58" i="3" s="1"/>
  <c r="I58" i="3" s="1"/>
  <c r="J58" i="3" s="1"/>
  <c r="A58" i="3"/>
  <c r="A85" i="3" s="1"/>
  <c r="B57" i="3"/>
  <c r="C57" i="3" s="1"/>
  <c r="D57" i="3" s="1"/>
  <c r="E57" i="3" s="1"/>
  <c r="F57" i="3" s="1"/>
  <c r="G57" i="3" s="1"/>
  <c r="H57" i="3" s="1"/>
  <c r="I57" i="3" s="1"/>
  <c r="J57" i="3" s="1"/>
  <c r="A57" i="3"/>
  <c r="A84" i="3" s="1"/>
  <c r="B56" i="3"/>
  <c r="A56" i="3"/>
  <c r="A83" i="3" s="1"/>
  <c r="B55" i="3"/>
  <c r="C55" i="3" s="1"/>
  <c r="D55" i="3" s="1"/>
  <c r="E55" i="3" s="1"/>
  <c r="F55" i="3" s="1"/>
  <c r="G55" i="3" s="1"/>
  <c r="H55" i="3" s="1"/>
  <c r="I55" i="3" s="1"/>
  <c r="J55" i="3" s="1"/>
  <c r="A55" i="3"/>
  <c r="A82" i="3" s="1"/>
  <c r="B54" i="3"/>
  <c r="C54" i="3" s="1"/>
  <c r="D54" i="3" s="1"/>
  <c r="E54" i="3" s="1"/>
  <c r="F54" i="3" s="1"/>
  <c r="G54" i="3" s="1"/>
  <c r="H54" i="3" s="1"/>
  <c r="I54" i="3" s="1"/>
  <c r="J54" i="3" s="1"/>
  <c r="A54" i="3"/>
  <c r="A81" i="3" s="1"/>
  <c r="B53" i="3"/>
  <c r="C53" i="3" s="1"/>
  <c r="D53" i="3" s="1"/>
  <c r="E53" i="3" s="1"/>
  <c r="F53" i="3" s="1"/>
  <c r="G53" i="3" s="1"/>
  <c r="H53" i="3" s="1"/>
  <c r="I53" i="3" s="1"/>
  <c r="J53" i="3" s="1"/>
  <c r="A53" i="3"/>
  <c r="A80" i="3" s="1"/>
  <c r="B52" i="3"/>
  <c r="C52" i="3" s="1"/>
  <c r="D52" i="3" s="1"/>
  <c r="E52" i="3" s="1"/>
  <c r="F52" i="3" s="1"/>
  <c r="G52" i="3" s="1"/>
  <c r="H52" i="3" s="1"/>
  <c r="I52" i="3" s="1"/>
  <c r="J52" i="3" s="1"/>
  <c r="A52" i="3"/>
  <c r="A79" i="3" s="1"/>
  <c r="B51" i="3"/>
  <c r="C51" i="3" s="1"/>
  <c r="D51" i="3" s="1"/>
  <c r="E51" i="3" s="1"/>
  <c r="F51" i="3" s="1"/>
  <c r="G51" i="3" s="1"/>
  <c r="H51" i="3" s="1"/>
  <c r="I51" i="3" s="1"/>
  <c r="J51" i="3" s="1"/>
  <c r="A51" i="3"/>
  <c r="A78" i="3" s="1"/>
  <c r="B50" i="3"/>
  <c r="C50" i="3" s="1"/>
  <c r="D50" i="3" s="1"/>
  <c r="E50" i="3" s="1"/>
  <c r="F50" i="3" s="1"/>
  <c r="G50" i="3" s="1"/>
  <c r="H50" i="3" s="1"/>
  <c r="I50" i="3" s="1"/>
  <c r="J50" i="3" s="1"/>
  <c r="A50" i="3"/>
  <c r="A77" i="3" s="1"/>
  <c r="B49" i="3"/>
  <c r="C49" i="3" s="1"/>
  <c r="D49" i="3" s="1"/>
  <c r="E49" i="3" s="1"/>
  <c r="F49" i="3" s="1"/>
  <c r="G49" i="3" s="1"/>
  <c r="H49" i="3" s="1"/>
  <c r="I49" i="3" s="1"/>
  <c r="J49" i="3" s="1"/>
  <c r="A49" i="3"/>
  <c r="A76" i="3" s="1"/>
  <c r="B48" i="3"/>
  <c r="C48" i="3" s="1"/>
  <c r="D48" i="3" s="1"/>
  <c r="E48" i="3" s="1"/>
  <c r="F48" i="3" s="1"/>
  <c r="G48" i="3" s="1"/>
  <c r="H48" i="3" s="1"/>
  <c r="I48" i="3" s="1"/>
  <c r="J48" i="3" s="1"/>
  <c r="A48" i="3"/>
  <c r="A75" i="3" s="1"/>
  <c r="B47" i="3"/>
  <c r="C47" i="3" s="1"/>
  <c r="D47" i="3" s="1"/>
  <c r="E47" i="3" s="1"/>
  <c r="F47" i="3" s="1"/>
  <c r="G47" i="3" s="1"/>
  <c r="H47" i="3" s="1"/>
  <c r="I47" i="3" s="1"/>
  <c r="J47" i="3" s="1"/>
  <c r="A47" i="3"/>
  <c r="A74" i="3" s="1"/>
  <c r="B46" i="3"/>
  <c r="C46" i="3" s="1"/>
  <c r="D46" i="3" s="1"/>
  <c r="E46" i="3" s="1"/>
  <c r="F46" i="3" s="1"/>
  <c r="G46" i="3" s="1"/>
  <c r="H46" i="3" s="1"/>
  <c r="I46" i="3" s="1"/>
  <c r="J46" i="3" s="1"/>
  <c r="A46" i="3"/>
  <c r="A73" i="3" s="1"/>
  <c r="B45" i="3"/>
  <c r="C45" i="3" s="1"/>
  <c r="D45" i="3" s="1"/>
  <c r="E45" i="3" s="1"/>
  <c r="F45" i="3" s="1"/>
  <c r="G45" i="3" s="1"/>
  <c r="H45" i="3" s="1"/>
  <c r="I45" i="3" s="1"/>
  <c r="J45" i="3" s="1"/>
  <c r="A45" i="3"/>
  <c r="A72" i="3" s="1"/>
  <c r="B44" i="3"/>
  <c r="C44" i="3" s="1"/>
  <c r="D44" i="3" s="1"/>
  <c r="E44" i="3" s="1"/>
  <c r="F44" i="3" s="1"/>
  <c r="G44" i="3" s="1"/>
  <c r="H44" i="3" s="1"/>
  <c r="I44" i="3" s="1"/>
  <c r="J44" i="3" s="1"/>
  <c r="A44" i="3"/>
  <c r="A71" i="3" s="1"/>
  <c r="B43" i="3"/>
  <c r="C43" i="3" s="1"/>
  <c r="D43" i="3" s="1"/>
  <c r="E43" i="3" s="1"/>
  <c r="F43" i="3" s="1"/>
  <c r="G43" i="3" s="1"/>
  <c r="H43" i="3" s="1"/>
  <c r="I43" i="3" s="1"/>
  <c r="J43" i="3" s="1"/>
  <c r="A43" i="3"/>
  <c r="A70" i="3" s="1"/>
  <c r="B42" i="3"/>
  <c r="C42" i="3" s="1"/>
  <c r="D42" i="3" s="1"/>
  <c r="E42" i="3" s="1"/>
  <c r="F42" i="3" s="1"/>
  <c r="G42" i="3" s="1"/>
  <c r="H42" i="3" s="1"/>
  <c r="I42" i="3" s="1"/>
  <c r="J42" i="3" s="1"/>
  <c r="A42" i="3"/>
  <c r="A69" i="3" s="1"/>
  <c r="B41" i="3"/>
  <c r="C41" i="3" s="1"/>
  <c r="D41" i="3" s="1"/>
  <c r="E41" i="3" s="1"/>
  <c r="F41" i="3" s="1"/>
  <c r="G41" i="3" s="1"/>
  <c r="H41" i="3" s="1"/>
  <c r="I41" i="3" s="1"/>
  <c r="J41" i="3" s="1"/>
  <c r="A41" i="3"/>
  <c r="B40" i="3"/>
  <c r="A40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I8" i="3"/>
  <c r="H8" i="3"/>
  <c r="G8" i="3"/>
  <c r="F8" i="3"/>
  <c r="E8" i="3"/>
  <c r="D8" i="3"/>
  <c r="C8" i="3"/>
  <c r="B8" i="3"/>
  <c r="J7" i="3"/>
  <c r="I7" i="3"/>
  <c r="H7" i="3"/>
  <c r="G7" i="3"/>
  <c r="F7" i="3"/>
  <c r="E7" i="3"/>
  <c r="D7" i="3"/>
  <c r="C7" i="3"/>
  <c r="K6" i="3"/>
  <c r="L27" i="1"/>
  <c r="M27" i="1" s="1"/>
  <c r="L26" i="1"/>
  <c r="M26" i="1" s="1"/>
  <c r="C34" i="3" s="1"/>
  <c r="L25" i="1"/>
  <c r="M25" i="1" s="1"/>
  <c r="L24" i="1"/>
  <c r="M24" i="1" s="1"/>
  <c r="L23" i="1"/>
  <c r="M23" i="1" s="1"/>
  <c r="L22" i="1"/>
  <c r="M22" i="1" s="1"/>
  <c r="C30" i="3" s="1"/>
  <c r="L21" i="1"/>
  <c r="M21" i="1" s="1"/>
  <c r="L20" i="1"/>
  <c r="M20" i="1" s="1"/>
  <c r="L19" i="1"/>
  <c r="M19" i="1" s="1"/>
  <c r="L18" i="1"/>
  <c r="M18" i="1" s="1"/>
  <c r="C26" i="3" s="1"/>
  <c r="L17" i="1"/>
  <c r="M17" i="1" s="1"/>
  <c r="L16" i="1"/>
  <c r="M16" i="1" s="1"/>
  <c r="L15" i="1"/>
  <c r="M15" i="1" s="1"/>
  <c r="L14" i="1"/>
  <c r="M14" i="1" s="1"/>
  <c r="L13" i="1"/>
  <c r="M13" i="1" s="1"/>
  <c r="L12" i="1"/>
  <c r="M12" i="1" s="1"/>
  <c r="L11" i="1"/>
  <c r="M11" i="1" s="1"/>
  <c r="L10" i="1"/>
  <c r="M10" i="1" s="1"/>
  <c r="C18" i="3" s="1"/>
  <c r="L9" i="1"/>
  <c r="M9" i="1" s="1"/>
  <c r="L8" i="1"/>
  <c r="M8" i="1" s="1"/>
  <c r="L7" i="1"/>
  <c r="M7" i="1" s="1"/>
  <c r="L6" i="1"/>
  <c r="M6" i="1" s="1"/>
  <c r="C14" i="3" s="1"/>
  <c r="L5" i="1"/>
  <c r="M5" i="1" s="1"/>
  <c r="N16" i="1" l="1"/>
  <c r="N25" i="1"/>
  <c r="N5" i="1"/>
  <c r="N20" i="1"/>
  <c r="C28" i="3"/>
  <c r="N21" i="1"/>
  <c r="N13" i="1"/>
  <c r="O8" i="1"/>
  <c r="O24" i="1"/>
  <c r="N8" i="1"/>
  <c r="C35" i="3"/>
  <c r="O27" i="1"/>
  <c r="O14" i="1"/>
  <c r="N27" i="1"/>
  <c r="B63" i="3"/>
  <c r="B73" i="3" s="1"/>
  <c r="O16" i="1"/>
  <c r="C19" i="3"/>
  <c r="O11" i="1"/>
  <c r="C32" i="3"/>
  <c r="N14" i="1"/>
  <c r="C33" i="3"/>
  <c r="O25" i="1"/>
  <c r="O12" i="1"/>
  <c r="B9" i="3"/>
  <c r="D34" i="3" s="1"/>
  <c r="C24" i="3"/>
  <c r="B98" i="3"/>
  <c r="C98" i="3" s="1"/>
  <c r="D98" i="3" s="1"/>
  <c r="E98" i="3" s="1"/>
  <c r="F98" i="3" s="1"/>
  <c r="G98" i="3" s="1"/>
  <c r="H98" i="3" s="1"/>
  <c r="I98" i="3" s="1"/>
  <c r="J98" i="3" s="1"/>
  <c r="C60" i="3"/>
  <c r="D60" i="3" s="1"/>
  <c r="E60" i="3" s="1"/>
  <c r="F60" i="3" s="1"/>
  <c r="G60" i="3" s="1"/>
  <c r="H60" i="3" s="1"/>
  <c r="I60" i="3" s="1"/>
  <c r="J60" i="3" s="1"/>
  <c r="C27" i="3"/>
  <c r="O19" i="1"/>
  <c r="N24" i="1"/>
  <c r="C16" i="3"/>
  <c r="O6" i="1"/>
  <c r="N11" i="1"/>
  <c r="N19" i="1"/>
  <c r="B100" i="3"/>
  <c r="C100" i="3" s="1"/>
  <c r="D100" i="3" s="1"/>
  <c r="E100" i="3" s="1"/>
  <c r="F100" i="3" s="1"/>
  <c r="G100" i="3" s="1"/>
  <c r="H100" i="3" s="1"/>
  <c r="I100" i="3" s="1"/>
  <c r="J100" i="3" s="1"/>
  <c r="B99" i="3"/>
  <c r="C99" i="3" s="1"/>
  <c r="D99" i="3" s="1"/>
  <c r="E99" i="3" s="1"/>
  <c r="F99" i="3" s="1"/>
  <c r="G99" i="3" s="1"/>
  <c r="H99" i="3" s="1"/>
  <c r="I99" i="3" s="1"/>
  <c r="J99" i="3" s="1"/>
  <c r="B96" i="3"/>
  <c r="C96" i="3" s="1"/>
  <c r="D96" i="3" s="1"/>
  <c r="E96" i="3" s="1"/>
  <c r="F96" i="3" s="1"/>
  <c r="G96" i="3" s="1"/>
  <c r="H96" i="3" s="1"/>
  <c r="I96" i="3" s="1"/>
  <c r="J96" i="3" s="1"/>
  <c r="A68" i="3"/>
  <c r="C17" i="3"/>
  <c r="O9" i="1"/>
  <c r="C25" i="3"/>
  <c r="O17" i="1"/>
  <c r="N9" i="1"/>
  <c r="N17" i="1"/>
  <c r="C15" i="3"/>
  <c r="O7" i="1"/>
  <c r="N12" i="1"/>
  <c r="C23" i="3"/>
  <c r="O15" i="1"/>
  <c r="C31" i="3"/>
  <c r="O23" i="1"/>
  <c r="N7" i="1"/>
  <c r="O10" i="1"/>
  <c r="N15" i="1"/>
  <c r="O18" i="1"/>
  <c r="N23" i="1"/>
  <c r="O26" i="1"/>
  <c r="C22" i="3"/>
  <c r="O22" i="1"/>
  <c r="N6" i="1"/>
  <c r="N22" i="1"/>
  <c r="O20" i="1"/>
  <c r="C13" i="3"/>
  <c r="O5" i="1"/>
  <c r="N10" i="1"/>
  <c r="C21" i="3"/>
  <c r="O13" i="1"/>
  <c r="N18" i="1"/>
  <c r="C29" i="3"/>
  <c r="O21" i="1"/>
  <c r="N26" i="1"/>
  <c r="C20" i="3"/>
  <c r="C40" i="3"/>
  <c r="C56" i="3"/>
  <c r="D56" i="3" s="1"/>
  <c r="E56" i="3" s="1"/>
  <c r="F56" i="3" s="1"/>
  <c r="G56" i="3" s="1"/>
  <c r="H56" i="3" s="1"/>
  <c r="I56" i="3" s="1"/>
  <c r="J56" i="3" s="1"/>
  <c r="A67" i="3"/>
  <c r="B97" i="3"/>
  <c r="C97" i="3" s="1"/>
  <c r="D97" i="3" s="1"/>
  <c r="E97" i="3" s="1"/>
  <c r="F97" i="3" s="1"/>
  <c r="G97" i="3" s="1"/>
  <c r="H97" i="3" s="1"/>
  <c r="I97" i="3" s="1"/>
  <c r="J97" i="3" s="1"/>
  <c r="B85" i="3" l="1"/>
  <c r="E14" i="3"/>
  <c r="E18" i="3"/>
  <c r="D17" i="3"/>
  <c r="F17" i="3" s="1"/>
  <c r="E17" i="3"/>
  <c r="D33" i="3"/>
  <c r="F33" i="3" s="1"/>
  <c r="E33" i="3"/>
  <c r="B95" i="3"/>
  <c r="B88" i="3"/>
  <c r="B84" i="3"/>
  <c r="B82" i="3"/>
  <c r="B72" i="3"/>
  <c r="B80" i="3"/>
  <c r="B78" i="3"/>
  <c r="B86" i="3"/>
  <c r="B74" i="3"/>
  <c r="B68" i="3"/>
  <c r="B76" i="3"/>
  <c r="B70" i="3"/>
  <c r="E21" i="3"/>
  <c r="D21" i="3"/>
  <c r="F21" i="3" s="1"/>
  <c r="E34" i="3"/>
  <c r="D18" i="3"/>
  <c r="F18" i="3" s="1"/>
  <c r="D14" i="3"/>
  <c r="F14" i="3" s="1"/>
  <c r="E16" i="3"/>
  <c r="D16" i="3"/>
  <c r="F16" i="3" s="1"/>
  <c r="B77" i="3"/>
  <c r="D19" i="3"/>
  <c r="F19" i="3" s="1"/>
  <c r="E19" i="3"/>
  <c r="C63" i="3"/>
  <c r="D40" i="3"/>
  <c r="B75" i="3"/>
  <c r="D15" i="3"/>
  <c r="F15" i="3" s="1"/>
  <c r="E15" i="3"/>
  <c r="F34" i="3"/>
  <c r="E20" i="3"/>
  <c r="D20" i="3"/>
  <c r="F20" i="3" s="1"/>
  <c r="B83" i="3"/>
  <c r="B71" i="3"/>
  <c r="E13" i="3"/>
  <c r="D13" i="3"/>
  <c r="F13" i="3" s="1"/>
  <c r="B67" i="3"/>
  <c r="E24" i="3"/>
  <c r="D24" i="3"/>
  <c r="F24" i="3" s="1"/>
  <c r="D28" i="3"/>
  <c r="F28" i="3" s="1"/>
  <c r="E32" i="3"/>
  <c r="D32" i="3"/>
  <c r="F32" i="3" s="1"/>
  <c r="B81" i="3"/>
  <c r="B69" i="3"/>
  <c r="D26" i="3"/>
  <c r="F26" i="3" s="1"/>
  <c r="E22" i="3"/>
  <c r="D22" i="3"/>
  <c r="F22" i="3" s="1"/>
  <c r="D31" i="3"/>
  <c r="F31" i="3" s="1"/>
  <c r="E31" i="3"/>
  <c r="E29" i="3"/>
  <c r="D29" i="3"/>
  <c r="F29" i="3" s="1"/>
  <c r="E26" i="3"/>
  <c r="D27" i="3"/>
  <c r="F27" i="3" s="1"/>
  <c r="E27" i="3"/>
  <c r="E28" i="3"/>
  <c r="D35" i="3"/>
  <c r="F35" i="3" s="1"/>
  <c r="E35" i="3"/>
  <c r="D30" i="3"/>
  <c r="F30" i="3" s="1"/>
  <c r="B89" i="3"/>
  <c r="D23" i="3"/>
  <c r="F23" i="3" s="1"/>
  <c r="E23" i="3"/>
  <c r="D25" i="3"/>
  <c r="F25" i="3" s="1"/>
  <c r="E25" i="3"/>
  <c r="B79" i="3"/>
  <c r="B87" i="3"/>
  <c r="E30" i="3"/>
  <c r="C95" i="3" l="1"/>
  <c r="C82" i="3"/>
  <c r="C73" i="3"/>
  <c r="C68" i="3"/>
  <c r="C78" i="3"/>
  <c r="C69" i="3"/>
  <c r="C74" i="3"/>
  <c r="C84" i="3"/>
  <c r="C71" i="3"/>
  <c r="C77" i="3"/>
  <c r="C75" i="3"/>
  <c r="C79" i="3"/>
  <c r="C70" i="3"/>
  <c r="C88" i="3"/>
  <c r="C67" i="3"/>
  <c r="C83" i="3"/>
  <c r="C89" i="3"/>
  <c r="C85" i="3"/>
  <c r="C80" i="3"/>
  <c r="C81" i="3"/>
  <c r="C76" i="3"/>
  <c r="C86" i="3"/>
  <c r="C72" i="3"/>
  <c r="C87" i="3"/>
  <c r="D63" i="3"/>
  <c r="E40" i="3"/>
  <c r="D95" i="3" l="1"/>
  <c r="D80" i="3"/>
  <c r="D79" i="3"/>
  <c r="D72" i="3"/>
  <c r="D71" i="3"/>
  <c r="D78" i="3"/>
  <c r="D73" i="3"/>
  <c r="D74" i="3"/>
  <c r="D89" i="3"/>
  <c r="D84" i="3"/>
  <c r="D77" i="3"/>
  <c r="D85" i="3"/>
  <c r="D86" i="3"/>
  <c r="D76" i="3"/>
  <c r="D69" i="3"/>
  <c r="D82" i="3"/>
  <c r="D68" i="3"/>
  <c r="D75" i="3"/>
  <c r="D70" i="3"/>
  <c r="D88" i="3"/>
  <c r="D81" i="3"/>
  <c r="D87" i="3"/>
  <c r="D83" i="3"/>
  <c r="D67" i="3"/>
  <c r="F40" i="3"/>
  <c r="E63" i="3"/>
  <c r="E95" i="3" l="1"/>
  <c r="E89" i="3"/>
  <c r="E68" i="3"/>
  <c r="E84" i="3"/>
  <c r="E77" i="3"/>
  <c r="E82" i="3"/>
  <c r="E86" i="3"/>
  <c r="E81" i="3"/>
  <c r="E78" i="3"/>
  <c r="E75" i="3"/>
  <c r="E76" i="3"/>
  <c r="E70" i="3"/>
  <c r="E71" i="3"/>
  <c r="E72" i="3"/>
  <c r="E88" i="3"/>
  <c r="E69" i="3"/>
  <c r="E85" i="3"/>
  <c r="E74" i="3"/>
  <c r="E79" i="3"/>
  <c r="E80" i="3"/>
  <c r="E73" i="3"/>
  <c r="E87" i="3"/>
  <c r="E83" i="3"/>
  <c r="E67" i="3"/>
  <c r="G40" i="3"/>
  <c r="F63" i="3"/>
  <c r="F95" i="3" l="1"/>
  <c r="F89" i="3"/>
  <c r="F88" i="3"/>
  <c r="F81" i="3"/>
  <c r="F69" i="3"/>
  <c r="F71" i="3"/>
  <c r="F70" i="3"/>
  <c r="F68" i="3"/>
  <c r="F73" i="3"/>
  <c r="F78" i="3"/>
  <c r="F74" i="3"/>
  <c r="F75" i="3"/>
  <c r="F82" i="3"/>
  <c r="F77" i="3"/>
  <c r="F80" i="3"/>
  <c r="F72" i="3"/>
  <c r="F85" i="3"/>
  <c r="F76" i="3"/>
  <c r="F87" i="3"/>
  <c r="F86" i="3"/>
  <c r="F84" i="3"/>
  <c r="F79" i="3"/>
  <c r="F83" i="3"/>
  <c r="F67" i="3"/>
  <c r="H40" i="3"/>
  <c r="G63" i="3"/>
  <c r="G95" i="3" l="1"/>
  <c r="G81" i="3"/>
  <c r="G74" i="3"/>
  <c r="G77" i="3"/>
  <c r="G84" i="3"/>
  <c r="G72" i="3"/>
  <c r="G86" i="3"/>
  <c r="G73" i="3"/>
  <c r="G89" i="3"/>
  <c r="G68" i="3"/>
  <c r="G82" i="3"/>
  <c r="G78" i="3"/>
  <c r="G88" i="3"/>
  <c r="G79" i="3"/>
  <c r="G70" i="3"/>
  <c r="G75" i="3"/>
  <c r="G85" i="3"/>
  <c r="G80" i="3"/>
  <c r="G71" i="3"/>
  <c r="G76" i="3"/>
  <c r="G69" i="3"/>
  <c r="G87" i="3"/>
  <c r="G83" i="3"/>
  <c r="G67" i="3"/>
  <c r="I40" i="3"/>
  <c r="H63" i="3"/>
  <c r="H95" i="3" l="1"/>
  <c r="H80" i="3"/>
  <c r="H70" i="3"/>
  <c r="H75" i="3"/>
  <c r="H73" i="3"/>
  <c r="H71" i="3"/>
  <c r="H76" i="3"/>
  <c r="H89" i="3"/>
  <c r="H77" i="3"/>
  <c r="H72" i="3"/>
  <c r="H68" i="3"/>
  <c r="H86" i="3"/>
  <c r="H82" i="3"/>
  <c r="H85" i="3"/>
  <c r="H79" i="3"/>
  <c r="H88" i="3"/>
  <c r="H78" i="3"/>
  <c r="H81" i="3"/>
  <c r="H84" i="3"/>
  <c r="H74" i="3"/>
  <c r="H69" i="3"/>
  <c r="H83" i="3"/>
  <c r="H87" i="3"/>
  <c r="H67" i="3"/>
  <c r="I63" i="3"/>
  <c r="J40" i="3"/>
  <c r="J63" i="3" l="1"/>
  <c r="J67" i="3" s="1"/>
  <c r="I95" i="3"/>
  <c r="I88" i="3"/>
  <c r="I72" i="3"/>
  <c r="I85" i="3"/>
  <c r="I70" i="3"/>
  <c r="I75" i="3"/>
  <c r="I76" i="3"/>
  <c r="I89" i="3"/>
  <c r="I74" i="3"/>
  <c r="I79" i="3"/>
  <c r="I68" i="3"/>
  <c r="I78" i="3"/>
  <c r="I82" i="3"/>
  <c r="I84" i="3"/>
  <c r="I69" i="3"/>
  <c r="I86" i="3"/>
  <c r="I73" i="3"/>
  <c r="I77" i="3"/>
  <c r="I80" i="3"/>
  <c r="I81" i="3"/>
  <c r="I71" i="3"/>
  <c r="I83" i="3"/>
  <c r="I87" i="3"/>
  <c r="I67" i="3"/>
  <c r="J95" i="3" l="1"/>
  <c r="J78" i="3"/>
  <c r="J77" i="3"/>
  <c r="J75" i="3"/>
  <c r="J74" i="3"/>
  <c r="J86" i="3"/>
  <c r="J81" i="3"/>
  <c r="J79" i="3"/>
  <c r="J76" i="3"/>
  <c r="J72" i="3"/>
  <c r="J85" i="3"/>
  <c r="J82" i="3"/>
  <c r="J80" i="3"/>
  <c r="J89" i="3"/>
  <c r="J84" i="3"/>
  <c r="J88" i="3"/>
  <c r="J70" i="3"/>
  <c r="J69" i="3"/>
  <c r="J68" i="3"/>
  <c r="J73" i="3"/>
  <c r="J71" i="3"/>
  <c r="J87" i="3"/>
  <c r="J8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6" authorId="0" shapeId="0" xr:uid="{00000000-0006-0000-0200-000001000000}">
      <text>
        <r>
          <rPr>
            <sz val="10"/>
            <rFont val="Arial"/>
            <family val="2"/>
          </rPr>
          <t>Sprint win = 8 pts, GP win = 25 pts (per 'Points Reference' sheet). Set an event to 0 if it should not count.</t>
        </r>
      </text>
    </comment>
  </commentList>
</comments>
</file>

<file path=xl/sharedStrings.xml><?xml version="1.0" encoding="utf-8"?>
<sst xmlns="http://schemas.openxmlformats.org/spreadsheetml/2006/main" count="139" uniqueCount="80">
  <si>
    <t>2026 FORMULA 1 DRIVERS' CHAMPIONSHIP - SCENARIO CALCULATOR</t>
  </si>
  <si>
    <t>Enter each driver's finishing position (1–20) in the yellow race/Sprint cells. Points, totals, rank, and gap calculate automatically. Use 0 for DNS/retirement/no points.</t>
  </si>
  <si>
    <t>Driver</t>
  </si>
  <si>
    <t>Team</t>
  </si>
  <si>
    <t>Starting Pts</t>
  </si>
  <si>
    <t>Sprint</t>
  </si>
  <si>
    <t>Singapore</t>
  </si>
  <si>
    <t>Mexico</t>
  </si>
  <si>
    <t>Brazil</t>
  </si>
  <si>
    <t>Las Vegas</t>
  </si>
  <si>
    <t>Qatar</t>
  </si>
  <si>
    <t>Abu Dhabi</t>
  </si>
  <si>
    <t>Points</t>
  </si>
  <si>
    <t>Total Points</t>
  </si>
  <si>
    <t>Rank</t>
  </si>
  <si>
    <t>Point differential</t>
  </si>
  <si>
    <t>Kimi Antonelli</t>
  </si>
  <si>
    <t>Mercedes</t>
  </si>
  <si>
    <t>George Russell</t>
  </si>
  <si>
    <t>Lewis Hamilton</t>
  </si>
  <si>
    <t>Ferrari</t>
  </si>
  <si>
    <t>Charles Leclerc</t>
  </si>
  <si>
    <t>Lando Norris</t>
  </si>
  <si>
    <t>McLaren</t>
  </si>
  <si>
    <t>Max Verstappen</t>
  </si>
  <si>
    <t>Red Bull Racing</t>
  </si>
  <si>
    <t>Oscar Piastri</t>
  </si>
  <si>
    <t>Isack Hadjar</t>
  </si>
  <si>
    <t>Liam Lawson</t>
  </si>
  <si>
    <t>Racing Bulls</t>
  </si>
  <si>
    <t>Pierre Gasly</t>
  </si>
  <si>
    <t>Alpine</t>
  </si>
  <si>
    <t>Arvid Lindblad</t>
  </si>
  <si>
    <t>Franco Colapinto</t>
  </si>
  <si>
    <t>Oliver Bearman</t>
  </si>
  <si>
    <t>Haas F1 Team</t>
  </si>
  <si>
    <t>Gabriel Bortoleto</t>
  </si>
  <si>
    <t>Audi</t>
  </si>
  <si>
    <t>Nico Hulkenberg</t>
  </si>
  <si>
    <t>Esteban Ocon</t>
  </si>
  <si>
    <t>Fernando Alonso</t>
  </si>
  <si>
    <t>Aston Martin</t>
  </si>
  <si>
    <t>Carlos Sainz</t>
  </si>
  <si>
    <t>Williams</t>
  </si>
  <si>
    <t>Alexander Albon</t>
  </si>
  <si>
    <t>Yuki Tsunoda</t>
  </si>
  <si>
    <t>Lance Stroll</t>
  </si>
  <si>
    <t>Valtteri Bottas</t>
  </si>
  <si>
    <t>Cadillac</t>
  </si>
  <si>
    <t>Sergio Perez</t>
  </si>
  <si>
    <t>Grand Prix Points</t>
  </si>
  <si>
    <t>Sprint Points</t>
  </si>
  <si>
    <t>Finishing position</t>
  </si>
  <si>
    <t>2026 F1 TITLE RACE - WHO CAN STILL WIN</t>
  </si>
  <si>
    <t>Updates automatically from the 'F1 Championship' sheet. Enter results there; only the yellow cells on this sheet are editable.</t>
  </si>
  <si>
    <t>How to read: a driver is still in it while their line finishes at or above the dashed leader line. When a line drops below it, that driver is mathematically out.</t>
  </si>
  <si>
    <t>1. POINTS STILL ON THE TABLE</t>
  </si>
  <si>
    <t>Event</t>
  </si>
  <si>
    <t>Start</t>
  </si>
  <si>
    <t>Total</t>
  </si>
  <si>
    <t>Max points available</t>
  </si>
  <si>
    <t>Result entered?</t>
  </si>
  <si>
    <t>Points left after event</t>
  </si>
  <si>
    <t>Points remaining now</t>
  </si>
  <si>
    <t>Max points still available in events with no results entered yet</t>
  </si>
  <si>
    <t>2. CHAMPIONSHIP STATUS (all drivers)</t>
  </si>
  <si>
    <t>Current pts</t>
  </si>
  <si>
    <t>Max possible</t>
  </si>
  <si>
    <t>Gap to leader</t>
  </si>
  <si>
    <t>Status</t>
  </si>
  <si>
    <t>Can win = max possible beats the leader's current total. Tie only = can at best draw level (decided on countback of wins). Eliminated = cannot catch the leader.</t>
  </si>
  <si>
    <t>3. RUNNING POINTS TOTAL AFTER EACH EVENT</t>
  </si>
  <si>
    <t>Leader's total</t>
  </si>
  <si>
    <t>4. STILL IN THE FIGHT AFTER EACH EVENT?</t>
  </si>
  <si>
    <t>5. CHART DATA - BEST-CASE PATH FOR EACH CONTENDER</t>
  </si>
  <si>
    <t>Best case = real points for events already run, plus maximum points for every event still to come. Edit the yellow names to chart different drivers.</t>
  </si>
  <si>
    <t>Series</t>
  </si>
  <si>
    <t>Leader's points (no more scoring)</t>
  </si>
  <si>
    <t>Houston</t>
  </si>
  <si>
    <t>Alive = could still reach the leader's total at that point if they took max points in every later event.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</si>
</sst>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FFFFFF"/>
      <name val="Calibri"/>
      <family val="2"/>
      <charset val="1"/>
    </font>
    <font>
      <i/>
      <sz val="10"/>
      <color rgb="FF40404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name val="Calibri"/>
      <family val="2"/>
      <charset val="1"/>
    </font>
    <font>
      <b/>
      <sz val="16"/>
      <color rgb="FFFFFFFF"/>
      <name val="Calibri"/>
      <family val="2"/>
    </font>
    <font>
      <i/>
      <sz val="10"/>
      <color rgb="FF59595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0"/>
      <color rgb="FF595959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7365D"/>
        <bgColor rgb="FF1F4E78"/>
      </patternFill>
    </fill>
    <fill>
      <patternFill patternType="solid">
        <fgColor rgb="FF1F4E78"/>
        <bgColor rgb="FF17365D"/>
      </patternFill>
    </fill>
    <fill>
      <patternFill patternType="solid">
        <fgColor rgb="FFFF0000"/>
        <bgColor rgb="FFE8002D"/>
      </patternFill>
    </fill>
    <fill>
      <patternFill patternType="solid">
        <fgColor rgb="FFFFF2CC"/>
        <bgColor rgb="FFF2F2F2"/>
      </patternFill>
    </fill>
    <fill>
      <patternFill patternType="solid">
        <fgColor rgb="FFDDEBF7"/>
        <bgColor rgb="FFD9E2F3"/>
      </patternFill>
    </fill>
    <fill>
      <patternFill patternType="solid">
        <fgColor rgb="FFF3F6FA"/>
        <bgColor rgb="FFF2F2F2"/>
      </patternFill>
    </fill>
    <fill>
      <patternFill patternType="solid">
        <fgColor rgb="FFD9E1F2"/>
        <bgColor rgb="FFD9E2F3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F2F2F2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/>
    </xf>
    <xf numFmtId="0" fontId="4" fillId="3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1" fontId="0" fillId="6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5" fillId="0" borderId="0" xfId="0" applyFont="1"/>
    <xf numFmtId="0" fontId="0" fillId="0" borderId="0" xfId="0" applyAlignment="1">
      <alignment wrapText="1"/>
    </xf>
    <xf numFmtId="0" fontId="4" fillId="2" borderId="0" xfId="0" applyFont="1" applyFill="1"/>
    <xf numFmtId="0" fontId="0" fillId="0" borderId="1" xfId="0" applyBorder="1" applyAlignment="1">
      <alignment horizontal="center"/>
    </xf>
    <xf numFmtId="0" fontId="6" fillId="2" borderId="0" xfId="0" applyFont="1" applyFill="1"/>
    <xf numFmtId="0" fontId="0" fillId="2" borderId="0" xfId="0" applyFill="1"/>
    <xf numFmtId="0" fontId="7" fillId="0" borderId="0" xfId="0" applyFont="1"/>
    <xf numFmtId="0" fontId="8" fillId="2" borderId="0" xfId="0" applyFont="1" applyFill="1"/>
    <xf numFmtId="0" fontId="9" fillId="8" borderId="2" xfId="0" applyFont="1" applyFill="1" applyBorder="1" applyAlignment="1">
      <alignment horizontal="center" vertical="center"/>
    </xf>
    <xf numFmtId="1" fontId="10" fillId="0" borderId="2" xfId="0" applyNumberFormat="1" applyFont="1" applyBorder="1" applyAlignment="1">
      <alignment horizontal="left"/>
    </xf>
    <xf numFmtId="1" fontId="10" fillId="0" borderId="2" xfId="0" applyNumberFormat="1" applyFont="1" applyBorder="1" applyAlignment="1">
      <alignment horizontal="center" vertical="center"/>
    </xf>
    <xf numFmtId="1" fontId="10" fillId="5" borderId="2" xfId="0" applyNumberFormat="1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left"/>
    </xf>
    <xf numFmtId="0" fontId="10" fillId="6" borderId="2" xfId="0" applyFont="1" applyFill="1" applyBorder="1" applyAlignment="1">
      <alignment horizontal="center" vertical="center"/>
    </xf>
    <xf numFmtId="1" fontId="10" fillId="6" borderId="2" xfId="0" applyNumberFormat="1" applyFont="1" applyFill="1" applyBorder="1" applyAlignment="1">
      <alignment horizontal="left"/>
    </xf>
    <xf numFmtId="1" fontId="10" fillId="6" borderId="2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left"/>
    </xf>
    <xf numFmtId="1" fontId="9" fillId="6" borderId="2" xfId="0" applyNumberFormat="1" applyFont="1" applyFill="1" applyBorder="1" applyAlignment="1">
      <alignment horizontal="center" vertical="center"/>
    </xf>
    <xf numFmtId="1" fontId="9" fillId="8" borderId="2" xfId="0" applyNumberFormat="1" applyFont="1" applyFill="1" applyBorder="1" applyAlignment="1">
      <alignment horizontal="left"/>
    </xf>
    <xf numFmtId="1" fontId="9" fillId="8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left"/>
    </xf>
    <xf numFmtId="0" fontId="10" fillId="0" borderId="2" xfId="0" applyFont="1" applyBorder="1" applyAlignment="1">
      <alignment horizontal="center" vertical="center"/>
    </xf>
    <xf numFmtId="1" fontId="10" fillId="5" borderId="2" xfId="0" applyNumberFormat="1" applyFont="1" applyFill="1" applyBorder="1" applyAlignment="1">
      <alignment horizontal="left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center" vertical="center"/>
    </xf>
    <xf numFmtId="0" fontId="11" fillId="0" borderId="0" xfId="0" applyFont="1"/>
  </cellXfs>
  <cellStyles count="1">
    <cellStyle name="Normal" xfId="0" builtinId="0"/>
  </cellStyles>
  <dxfs count="9">
    <dxf>
      <font>
        <color rgb="FF808080"/>
      </font>
      <fill>
        <patternFill>
          <bgColor rgb="FFF2F2F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</font>
      <fill>
        <patternFill>
          <bgColor rgb="FFFFD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</font>
      <fill>
        <patternFill>
          <bgColor rgb="FFFFD966"/>
        </patternFill>
      </fill>
    </dxf>
    <dxf>
      <fill>
        <patternFill>
          <bgColor rgb="FFC6E0B4"/>
        </patternFill>
      </fill>
    </dxf>
    <dxf>
      <fill>
        <patternFill>
          <bgColor rgb="FFC6E0B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9C0006"/>
      <rgbColor rgb="FF006100"/>
      <rgbColor rgb="FF000080"/>
      <rgbColor rgb="FF808000"/>
      <rgbColor rgb="FF800080"/>
      <rgbColor rgb="FF00A19B"/>
      <rgbColor rgb="FFBFBFBF"/>
      <rgbColor rgb="FF808080"/>
      <rgbColor rgb="FFC6E0B4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E8002D"/>
      <rgbColor rgb="FF008080"/>
      <rgbColor rgb="FF0000FF"/>
      <rgbColor rgb="FF00CCFF"/>
      <rgbColor rgb="FFF3F6FA"/>
      <rgbColor rgb="FFC6EFCE"/>
      <rgbColor rgb="FFFFEB9C"/>
      <rgbColor rgb="FFB6BABD"/>
      <rgbColor rgb="FFD9E2F3"/>
      <rgbColor rgb="FFD9E1F2"/>
      <rgbColor rgb="FFFFC7CE"/>
      <rgbColor rgb="FF3671C6"/>
      <rgbColor rgb="FF33CCCC"/>
      <rgbColor rgb="FF99CC00"/>
      <rgbColor rgb="FFFFD966"/>
      <rgbColor rgb="FFFF8000"/>
      <rgbColor rgb="FFFF6600"/>
      <rgbColor rgb="FF595959"/>
      <rgbColor rgb="FF878787"/>
      <rgbColor rgb="FF17365D"/>
      <rgbColor rgb="FF339966"/>
      <rgbColor rgb="FF003300"/>
      <rgbColor rgb="FF1F1F1F"/>
      <rgbColor rgb="FF9C5700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Title race: each contender's best case vs. the leader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'Title Race'!$A$95</c:f>
              <c:strCache>
                <c:ptCount val="1"/>
                <c:pt idx="0">
                  <c:v>Leader's points (no more scoring)</c:v>
                </c:pt>
              </c:strCache>
            </c:strRef>
          </c:tx>
          <c:spPr>
            <a:ln w="38160">
              <a:solidFill>
                <a:srgbClr val="1F1F1F"/>
              </a:solidFill>
              <a:prstDash val="dash"/>
              <a:round/>
            </a:ln>
          </c:spPr>
          <c:marker>
            <c:symbol val="circle"/>
            <c:size val="5"/>
            <c:spPr>
              <a:solidFill>
                <a:srgbClr val="1F1F1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'Title Race'!$B$94:$J$94</c:f>
              <c:strCache>
                <c:ptCount val="9"/>
                <c:pt idx="0">
                  <c:v>Start</c:v>
                </c:pt>
                <c:pt idx="1">
                  <c:v>Sprint</c:v>
                </c:pt>
                <c:pt idx="2">
                  <c:v>Singapore</c:v>
                </c:pt>
                <c:pt idx="3">
                  <c:v>Houston</c:v>
                </c:pt>
                <c:pt idx="4">
                  <c:v>Mexico</c:v>
                </c:pt>
                <c:pt idx="5">
                  <c:v>Brazil</c:v>
                </c:pt>
                <c:pt idx="6">
                  <c:v>Las Vegas</c:v>
                </c:pt>
                <c:pt idx="7">
                  <c:v>Qatar</c:v>
                </c:pt>
                <c:pt idx="8">
                  <c:v>Abu Dhabi</c:v>
                </c:pt>
              </c:strCache>
            </c:strRef>
          </c:cat>
          <c:val>
            <c:numRef>
              <c:f>'Title Race'!$B$95:$J$95</c:f>
              <c:numCache>
                <c:formatCode>0</c:formatCode>
                <c:ptCount val="9"/>
                <c:pt idx="0">
                  <c:v>320</c:v>
                </c:pt>
                <c:pt idx="1">
                  <c:v>320</c:v>
                </c:pt>
                <c:pt idx="2">
                  <c:v>320</c:v>
                </c:pt>
                <c:pt idx="3">
                  <c:v>320</c:v>
                </c:pt>
                <c:pt idx="4">
                  <c:v>320</c:v>
                </c:pt>
                <c:pt idx="5">
                  <c:v>320</c:v>
                </c:pt>
                <c:pt idx="6">
                  <c:v>320</c:v>
                </c:pt>
                <c:pt idx="7">
                  <c:v>320</c:v>
                </c:pt>
                <c:pt idx="8">
                  <c:v>320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E5-4B7F-BAAD-31F5E145F90C}"/>
            </c:ext>
          </c:extLst>
        </c:ser>
        <c:ser>
          <c:idx val="1"/>
          <c:order val="1"/>
          <c:tx>
            <c:strRef>
              <c:f>'Title Race'!$A$96</c:f>
              <c:strCache>
                <c:ptCount val="1"/>
                <c:pt idx="0">
                  <c:v>George Russell</c:v>
                </c:pt>
              </c:strCache>
            </c:strRef>
          </c:tx>
          <c:spPr>
            <a:ln w="24840">
              <a:solidFill>
                <a:srgbClr val="00A19B"/>
              </a:solidFill>
              <a:round/>
            </a:ln>
          </c:spPr>
          <c:marker>
            <c:symbol val="circle"/>
            <c:size val="5"/>
            <c:spPr>
              <a:solidFill>
                <a:srgbClr val="00A19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'Title Race'!$B$94:$J$94</c:f>
              <c:strCache>
                <c:ptCount val="9"/>
                <c:pt idx="0">
                  <c:v>Start</c:v>
                </c:pt>
                <c:pt idx="1">
                  <c:v>Sprint</c:v>
                </c:pt>
                <c:pt idx="2">
                  <c:v>Singapore</c:v>
                </c:pt>
                <c:pt idx="3">
                  <c:v>Houston</c:v>
                </c:pt>
                <c:pt idx="4">
                  <c:v>Mexico</c:v>
                </c:pt>
                <c:pt idx="5">
                  <c:v>Brazil</c:v>
                </c:pt>
                <c:pt idx="6">
                  <c:v>Las Vegas</c:v>
                </c:pt>
                <c:pt idx="7">
                  <c:v>Qatar</c:v>
                </c:pt>
                <c:pt idx="8">
                  <c:v>Abu Dhabi</c:v>
                </c:pt>
              </c:strCache>
            </c:strRef>
          </c:cat>
          <c:val>
            <c:numRef>
              <c:f>'Title Race'!$B$96:$J$96</c:f>
              <c:numCache>
                <c:formatCode>0</c:formatCode>
                <c:ptCount val="9"/>
                <c:pt idx="0">
                  <c:v>236</c:v>
                </c:pt>
                <c:pt idx="1">
                  <c:v>244</c:v>
                </c:pt>
                <c:pt idx="2">
                  <c:v>269</c:v>
                </c:pt>
                <c:pt idx="3">
                  <c:v>294</c:v>
                </c:pt>
                <c:pt idx="4">
                  <c:v>319</c:v>
                </c:pt>
                <c:pt idx="5">
                  <c:v>344</c:v>
                </c:pt>
                <c:pt idx="6">
                  <c:v>369</c:v>
                </c:pt>
                <c:pt idx="7">
                  <c:v>394</c:v>
                </c:pt>
                <c:pt idx="8">
                  <c:v>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E5-4B7F-BAAD-31F5E145F90C}"/>
            </c:ext>
          </c:extLst>
        </c:ser>
        <c:ser>
          <c:idx val="2"/>
          <c:order val="2"/>
          <c:tx>
            <c:strRef>
              <c:f>'Title Race'!$A$97</c:f>
              <c:strCache>
                <c:ptCount val="1"/>
                <c:pt idx="0">
                  <c:v>Lewis Hamilton</c:v>
                </c:pt>
              </c:strCache>
            </c:strRef>
          </c:tx>
          <c:spPr>
            <a:ln w="24840">
              <a:solidFill>
                <a:srgbClr val="E8002D"/>
              </a:solidFill>
              <a:round/>
            </a:ln>
          </c:spPr>
          <c:marker>
            <c:symbol val="circle"/>
            <c:size val="5"/>
            <c:spPr>
              <a:solidFill>
                <a:srgbClr val="E8002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'Title Race'!$B$94:$J$94</c:f>
              <c:strCache>
                <c:ptCount val="9"/>
                <c:pt idx="0">
                  <c:v>Start</c:v>
                </c:pt>
                <c:pt idx="1">
                  <c:v>Sprint</c:v>
                </c:pt>
                <c:pt idx="2">
                  <c:v>Singapore</c:v>
                </c:pt>
                <c:pt idx="3">
                  <c:v>Houston</c:v>
                </c:pt>
                <c:pt idx="4">
                  <c:v>Mexico</c:v>
                </c:pt>
                <c:pt idx="5">
                  <c:v>Brazil</c:v>
                </c:pt>
                <c:pt idx="6">
                  <c:v>Las Vegas</c:v>
                </c:pt>
                <c:pt idx="7">
                  <c:v>Qatar</c:v>
                </c:pt>
                <c:pt idx="8">
                  <c:v>Abu Dhabi</c:v>
                </c:pt>
              </c:strCache>
            </c:strRef>
          </c:cat>
          <c:val>
            <c:numRef>
              <c:f>'Title Race'!$B$97:$J$97</c:f>
              <c:numCache>
                <c:formatCode>0</c:formatCode>
                <c:ptCount val="9"/>
                <c:pt idx="0">
                  <c:v>214</c:v>
                </c:pt>
                <c:pt idx="1">
                  <c:v>222</c:v>
                </c:pt>
                <c:pt idx="2">
                  <c:v>247</c:v>
                </c:pt>
                <c:pt idx="3">
                  <c:v>272</c:v>
                </c:pt>
                <c:pt idx="4">
                  <c:v>297</c:v>
                </c:pt>
                <c:pt idx="5">
                  <c:v>322</c:v>
                </c:pt>
                <c:pt idx="6">
                  <c:v>347</c:v>
                </c:pt>
                <c:pt idx="7">
                  <c:v>372</c:v>
                </c:pt>
                <c:pt idx="8">
                  <c:v>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E5-4B7F-BAAD-31F5E145F90C}"/>
            </c:ext>
          </c:extLst>
        </c:ser>
        <c:ser>
          <c:idx val="3"/>
          <c:order val="3"/>
          <c:tx>
            <c:strRef>
              <c:f>'Title Race'!$A$98</c:f>
              <c:strCache>
                <c:ptCount val="1"/>
                <c:pt idx="0">
                  <c:v>Charles Leclerc</c:v>
                </c:pt>
              </c:strCache>
            </c:strRef>
          </c:tx>
          <c:spPr>
            <a:ln w="24840">
              <a:solidFill>
                <a:srgbClr val="B6BABD"/>
              </a:solidFill>
              <a:round/>
            </a:ln>
          </c:spPr>
          <c:marker>
            <c:symbol val="circle"/>
            <c:size val="5"/>
            <c:spPr>
              <a:solidFill>
                <a:srgbClr val="B6BAB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'Title Race'!$B$94:$J$94</c:f>
              <c:strCache>
                <c:ptCount val="9"/>
                <c:pt idx="0">
                  <c:v>Start</c:v>
                </c:pt>
                <c:pt idx="1">
                  <c:v>Sprint</c:v>
                </c:pt>
                <c:pt idx="2">
                  <c:v>Singapore</c:v>
                </c:pt>
                <c:pt idx="3">
                  <c:v>Houston</c:v>
                </c:pt>
                <c:pt idx="4">
                  <c:v>Mexico</c:v>
                </c:pt>
                <c:pt idx="5">
                  <c:v>Brazil</c:v>
                </c:pt>
                <c:pt idx="6">
                  <c:v>Las Vegas</c:v>
                </c:pt>
                <c:pt idx="7">
                  <c:v>Qatar</c:v>
                </c:pt>
                <c:pt idx="8">
                  <c:v>Abu Dhabi</c:v>
                </c:pt>
              </c:strCache>
            </c:strRef>
          </c:cat>
          <c:val>
            <c:numRef>
              <c:f>'Title Race'!$B$98:$J$98</c:f>
              <c:numCache>
                <c:formatCode>0</c:formatCode>
                <c:ptCount val="9"/>
                <c:pt idx="0">
                  <c:v>191</c:v>
                </c:pt>
                <c:pt idx="1">
                  <c:v>199</c:v>
                </c:pt>
                <c:pt idx="2">
                  <c:v>224</c:v>
                </c:pt>
                <c:pt idx="3">
                  <c:v>249</c:v>
                </c:pt>
                <c:pt idx="4">
                  <c:v>274</c:v>
                </c:pt>
                <c:pt idx="5">
                  <c:v>299</c:v>
                </c:pt>
                <c:pt idx="6">
                  <c:v>324</c:v>
                </c:pt>
                <c:pt idx="7">
                  <c:v>349</c:v>
                </c:pt>
                <c:pt idx="8">
                  <c:v>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E5-4B7F-BAAD-31F5E145F90C}"/>
            </c:ext>
          </c:extLst>
        </c:ser>
        <c:ser>
          <c:idx val="4"/>
          <c:order val="4"/>
          <c:tx>
            <c:strRef>
              <c:f>'Title Race'!$A$99</c:f>
              <c:strCache>
                <c:ptCount val="1"/>
                <c:pt idx="0">
                  <c:v>Lando Norris</c:v>
                </c:pt>
              </c:strCache>
            </c:strRef>
          </c:tx>
          <c:spPr>
            <a:ln w="24840">
              <a:solidFill>
                <a:srgbClr val="FF8000"/>
              </a:solidFill>
              <a:round/>
            </a:ln>
          </c:spPr>
          <c:marker>
            <c:symbol val="circle"/>
            <c:size val="5"/>
            <c:spPr>
              <a:solidFill>
                <a:srgbClr val="FF8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'Title Race'!$B$94:$J$94</c:f>
              <c:strCache>
                <c:ptCount val="9"/>
                <c:pt idx="0">
                  <c:v>Start</c:v>
                </c:pt>
                <c:pt idx="1">
                  <c:v>Sprint</c:v>
                </c:pt>
                <c:pt idx="2">
                  <c:v>Singapore</c:v>
                </c:pt>
                <c:pt idx="3">
                  <c:v>Houston</c:v>
                </c:pt>
                <c:pt idx="4">
                  <c:v>Mexico</c:v>
                </c:pt>
                <c:pt idx="5">
                  <c:v>Brazil</c:v>
                </c:pt>
                <c:pt idx="6">
                  <c:v>Las Vegas</c:v>
                </c:pt>
                <c:pt idx="7">
                  <c:v>Qatar</c:v>
                </c:pt>
                <c:pt idx="8">
                  <c:v>Abu Dhabi</c:v>
                </c:pt>
              </c:strCache>
            </c:strRef>
          </c:cat>
          <c:val>
            <c:numRef>
              <c:f>'Title Race'!$B$99:$J$99</c:f>
              <c:numCache>
                <c:formatCode>0</c:formatCode>
                <c:ptCount val="9"/>
                <c:pt idx="0">
                  <c:v>188</c:v>
                </c:pt>
                <c:pt idx="1">
                  <c:v>196</c:v>
                </c:pt>
                <c:pt idx="2">
                  <c:v>221</c:v>
                </c:pt>
                <c:pt idx="3">
                  <c:v>246</c:v>
                </c:pt>
                <c:pt idx="4">
                  <c:v>271</c:v>
                </c:pt>
                <c:pt idx="5">
                  <c:v>296</c:v>
                </c:pt>
                <c:pt idx="6">
                  <c:v>321</c:v>
                </c:pt>
                <c:pt idx="7">
                  <c:v>346</c:v>
                </c:pt>
                <c:pt idx="8">
                  <c:v>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E5-4B7F-BAAD-31F5E145F90C}"/>
            </c:ext>
          </c:extLst>
        </c:ser>
        <c:ser>
          <c:idx val="5"/>
          <c:order val="5"/>
          <c:tx>
            <c:strRef>
              <c:f>'Title Race'!$A$100</c:f>
              <c:strCache>
                <c:ptCount val="1"/>
                <c:pt idx="0">
                  <c:v>Max Verstappen</c:v>
                </c:pt>
              </c:strCache>
            </c:strRef>
          </c:tx>
          <c:spPr>
            <a:ln w="24840">
              <a:solidFill>
                <a:srgbClr val="3671C6"/>
              </a:solidFill>
              <a:round/>
            </a:ln>
          </c:spPr>
          <c:marker>
            <c:symbol val="circle"/>
            <c:size val="5"/>
            <c:spPr>
              <a:solidFill>
                <a:srgbClr val="3671C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'Title Race'!$B$94:$J$94</c:f>
              <c:strCache>
                <c:ptCount val="9"/>
                <c:pt idx="0">
                  <c:v>Start</c:v>
                </c:pt>
                <c:pt idx="1">
                  <c:v>Sprint</c:v>
                </c:pt>
                <c:pt idx="2">
                  <c:v>Singapore</c:v>
                </c:pt>
                <c:pt idx="3">
                  <c:v>Houston</c:v>
                </c:pt>
                <c:pt idx="4">
                  <c:v>Mexico</c:v>
                </c:pt>
                <c:pt idx="5">
                  <c:v>Brazil</c:v>
                </c:pt>
                <c:pt idx="6">
                  <c:v>Las Vegas</c:v>
                </c:pt>
                <c:pt idx="7">
                  <c:v>Qatar</c:v>
                </c:pt>
                <c:pt idx="8">
                  <c:v>Abu Dhabi</c:v>
                </c:pt>
              </c:strCache>
            </c:strRef>
          </c:cat>
          <c:val>
            <c:numRef>
              <c:f>'Title Race'!$B$100:$J$100</c:f>
              <c:numCache>
                <c:formatCode>0</c:formatCode>
                <c:ptCount val="9"/>
                <c:pt idx="0">
                  <c:v>188</c:v>
                </c:pt>
                <c:pt idx="1">
                  <c:v>196</c:v>
                </c:pt>
                <c:pt idx="2">
                  <c:v>221</c:v>
                </c:pt>
                <c:pt idx="3">
                  <c:v>246</c:v>
                </c:pt>
                <c:pt idx="4">
                  <c:v>271</c:v>
                </c:pt>
                <c:pt idx="5">
                  <c:v>296</c:v>
                </c:pt>
                <c:pt idx="6">
                  <c:v>321</c:v>
                </c:pt>
                <c:pt idx="7">
                  <c:v>346</c:v>
                </c:pt>
                <c:pt idx="8">
                  <c:v>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E5-4B7F-BAAD-31F5E145F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4447400"/>
        <c:axId val="86664865"/>
      </c:lineChart>
      <c:catAx>
        <c:axId val="544474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After event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664865"/>
        <c:crosses val="autoZero"/>
        <c:auto val="1"/>
        <c:lblAlgn val="ctr"/>
        <c:lblOffset val="100"/>
        <c:noMultiLvlLbl val="0"/>
      </c:catAx>
      <c:valAx>
        <c:axId val="866648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Championship points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44740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131040</xdr:rowOff>
    </xdr:from>
    <xdr:to>
      <xdr:col>26</xdr:col>
      <xdr:colOff>78480</xdr:colOff>
      <xdr:row>24</xdr:row>
      <xdr:rowOff>90000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36" sqref="A36"/>
    </sheetView>
  </sheetViews>
  <sheetFormatPr defaultColWidth="8.6328125" defaultRowHeight="14.5" x14ac:dyDescent="0.35"/>
  <cols>
    <col min="1" max="1" width="32" customWidth="1"/>
    <col min="2" max="2" width="16" customWidth="1"/>
    <col min="3" max="11" width="12" customWidth="1"/>
  </cols>
  <sheetData>
    <row r="1" spans="1:13" ht="21" x14ac:dyDescent="0.5">
      <c r="A1" s="15" t="s">
        <v>53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3" x14ac:dyDescent="0.35">
      <c r="A2" s="17" t="s">
        <v>54</v>
      </c>
    </row>
    <row r="3" spans="1:13" x14ac:dyDescent="0.35">
      <c r="M3" s="38" t="s">
        <v>55</v>
      </c>
    </row>
    <row r="4" spans="1:13" x14ac:dyDescent="0.35">
      <c r="A4" s="18" t="s">
        <v>56</v>
      </c>
      <c r="B4" s="18"/>
      <c r="C4" s="18"/>
      <c r="D4" s="18"/>
      <c r="E4" s="18"/>
      <c r="F4" s="18"/>
      <c r="G4" s="18"/>
      <c r="H4" s="18"/>
      <c r="I4" s="18"/>
      <c r="J4" s="18"/>
      <c r="K4" s="18"/>
    </row>
    <row r="5" spans="1:13" x14ac:dyDescent="0.35">
      <c r="A5" s="19" t="s">
        <v>57</v>
      </c>
      <c r="B5" s="19" t="s">
        <v>58</v>
      </c>
      <c r="C5" s="19" t="s">
        <v>5</v>
      </c>
      <c r="D5" s="19" t="s">
        <v>6</v>
      </c>
      <c r="E5" s="19" t="s">
        <v>78</v>
      </c>
      <c r="F5" s="19" t="s">
        <v>7</v>
      </c>
      <c r="G5" s="19" t="s">
        <v>8</v>
      </c>
      <c r="H5" s="19" t="s">
        <v>9</v>
      </c>
      <c r="I5" s="19" t="s">
        <v>10</v>
      </c>
      <c r="J5" s="19" t="s">
        <v>11</v>
      </c>
      <c r="K5" s="19" t="s">
        <v>59</v>
      </c>
    </row>
    <row r="6" spans="1:13" x14ac:dyDescent="0.35">
      <c r="A6" s="20" t="s">
        <v>60</v>
      </c>
      <c r="B6" s="21"/>
      <c r="C6" s="22">
        <v>8</v>
      </c>
      <c r="D6" s="22">
        <v>25</v>
      </c>
      <c r="E6" s="22">
        <v>25</v>
      </c>
      <c r="F6" s="22">
        <v>25</v>
      </c>
      <c r="G6" s="22">
        <v>25</v>
      </c>
      <c r="H6" s="22">
        <v>25</v>
      </c>
      <c r="I6" s="22">
        <v>25</v>
      </c>
      <c r="J6" s="22">
        <v>25</v>
      </c>
      <c r="K6" s="21">
        <f>SUM(C6:J6)</f>
        <v>183</v>
      </c>
    </row>
    <row r="7" spans="1:13" x14ac:dyDescent="0.35">
      <c r="A7" s="23" t="s">
        <v>61</v>
      </c>
      <c r="B7" s="24"/>
      <c r="C7" s="24" t="str">
        <f>IF(COUNT('F1 Championship'!D$5:D$27)&gt;0,"Yes","No")</f>
        <v>No</v>
      </c>
      <c r="D7" s="24" t="str">
        <f>IF(COUNT('F1 Championship'!E$5:E$27)&gt;0,"Yes","No")</f>
        <v>No</v>
      </c>
      <c r="E7" s="24" t="str">
        <f>IF(COUNT('F1 Championship'!F$5:F$27)&gt;0,"Yes","No")</f>
        <v>No</v>
      </c>
      <c r="F7" s="24" t="str">
        <f>IF(COUNT('F1 Championship'!G$5:G$27)&gt;0,"Yes","No")</f>
        <v>No</v>
      </c>
      <c r="G7" s="24" t="str">
        <f>IF(COUNT('F1 Championship'!H$5:H$27)&gt;0,"Yes","No")</f>
        <v>No</v>
      </c>
      <c r="H7" s="24" t="str">
        <f>IF(COUNT('F1 Championship'!I$5:I$27)&gt;0,"Yes","No")</f>
        <v>No</v>
      </c>
      <c r="I7" s="24" t="str">
        <f>IF(COUNT('F1 Championship'!J$5:J$27)&gt;0,"Yes","No")</f>
        <v>No</v>
      </c>
      <c r="J7" s="24" t="str">
        <f>IF(COUNT('F1 Championship'!K$5:K$27)&gt;0,"Yes","No")</f>
        <v>No</v>
      </c>
      <c r="K7" s="24"/>
    </row>
    <row r="8" spans="1:13" x14ac:dyDescent="0.35">
      <c r="A8" s="25" t="s">
        <v>62</v>
      </c>
      <c r="B8" s="26">
        <f>SUM(C6:J6)</f>
        <v>183</v>
      </c>
      <c r="C8" s="26">
        <f>SUM(D6:$J$6)</f>
        <v>175</v>
      </c>
      <c r="D8" s="26">
        <f>SUM(E6:$J$6)</f>
        <v>150</v>
      </c>
      <c r="E8" s="26">
        <f>SUM(F6:$J$6)</f>
        <v>125</v>
      </c>
      <c r="F8" s="26">
        <f>SUM(G6:$J$6)</f>
        <v>100</v>
      </c>
      <c r="G8" s="26">
        <f>SUM(H6:$J$6)</f>
        <v>75</v>
      </c>
      <c r="H8" s="26">
        <f>SUM(I6:$J$6)</f>
        <v>50</v>
      </c>
      <c r="I8" s="26">
        <f>SUM(J6:$J$6)</f>
        <v>25</v>
      </c>
      <c r="J8" s="26">
        <v>0</v>
      </c>
      <c r="K8" s="26"/>
    </row>
    <row r="9" spans="1:13" x14ac:dyDescent="0.35">
      <c r="A9" s="27" t="s">
        <v>63</v>
      </c>
      <c r="B9" s="28">
        <f>SUMIF(C7:J7,"No",C6:J6)</f>
        <v>183</v>
      </c>
      <c r="C9" s="17" t="s">
        <v>64</v>
      </c>
    </row>
    <row r="11" spans="1:13" x14ac:dyDescent="0.35">
      <c r="A11" s="18" t="s">
        <v>65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</row>
    <row r="12" spans="1:13" x14ac:dyDescent="0.35">
      <c r="A12" s="19" t="s">
        <v>2</v>
      </c>
      <c r="B12" s="19" t="s">
        <v>3</v>
      </c>
      <c r="C12" s="19" t="s">
        <v>66</v>
      </c>
      <c r="D12" s="19" t="s">
        <v>67</v>
      </c>
      <c r="E12" s="19" t="s">
        <v>68</v>
      </c>
      <c r="F12" s="19" t="s">
        <v>69</v>
      </c>
    </row>
    <row r="13" spans="1:13" x14ac:dyDescent="0.35">
      <c r="A13" s="20" t="str">
        <f>'F1 Championship'!A5</f>
        <v>Kimi Antonelli</v>
      </c>
      <c r="B13" s="20" t="str">
        <f>'F1 Championship'!B5</f>
        <v>Mercedes</v>
      </c>
      <c r="C13" s="21">
        <f>'F1 Championship'!M5</f>
        <v>320</v>
      </c>
      <c r="D13" s="21">
        <f t="shared" ref="D13:D35" si="0">C13+$B$9</f>
        <v>503</v>
      </c>
      <c r="E13" s="21">
        <f t="shared" ref="E13:E35" si="1">MAX($C$13:$C$35)-C13</f>
        <v>0</v>
      </c>
      <c r="F13" s="21" t="str">
        <f t="shared" ref="F13:F35" si="2">IF(C13=MAX($C$13:$C$35),"Leader",IF(D13&gt;MAX($C$13:$C$35),"Can win",IF(D13=MAX($C$13:$C$35),"Tie only","Eliminated")))</f>
        <v>Leader</v>
      </c>
    </row>
    <row r="14" spans="1:13" x14ac:dyDescent="0.35">
      <c r="A14" s="20" t="str">
        <f>'F1 Championship'!A6</f>
        <v>George Russell</v>
      </c>
      <c r="B14" s="20" t="str">
        <f>'F1 Championship'!B6</f>
        <v>Mercedes</v>
      </c>
      <c r="C14" s="21">
        <f>'F1 Championship'!M6</f>
        <v>236</v>
      </c>
      <c r="D14" s="21">
        <f t="shared" si="0"/>
        <v>419</v>
      </c>
      <c r="E14" s="21">
        <f t="shared" si="1"/>
        <v>84</v>
      </c>
      <c r="F14" s="21" t="str">
        <f t="shared" si="2"/>
        <v>Can win</v>
      </c>
    </row>
    <row r="15" spans="1:13" x14ac:dyDescent="0.35">
      <c r="A15" s="20" t="str">
        <f>'F1 Championship'!A7</f>
        <v>Lewis Hamilton</v>
      </c>
      <c r="B15" s="20" t="str">
        <f>'F1 Championship'!B7</f>
        <v>Ferrari</v>
      </c>
      <c r="C15" s="21">
        <f>'F1 Championship'!M7</f>
        <v>214</v>
      </c>
      <c r="D15" s="21">
        <f t="shared" si="0"/>
        <v>397</v>
      </c>
      <c r="E15" s="21">
        <f t="shared" si="1"/>
        <v>106</v>
      </c>
      <c r="F15" s="21" t="str">
        <f t="shared" si="2"/>
        <v>Can win</v>
      </c>
    </row>
    <row r="16" spans="1:13" x14ac:dyDescent="0.35">
      <c r="A16" s="20" t="str">
        <f>'F1 Championship'!A8</f>
        <v>Charles Leclerc</v>
      </c>
      <c r="B16" s="20" t="str">
        <f>'F1 Championship'!B8</f>
        <v>Ferrari</v>
      </c>
      <c r="C16" s="21">
        <f>'F1 Championship'!M8</f>
        <v>191</v>
      </c>
      <c r="D16" s="21">
        <f t="shared" si="0"/>
        <v>374</v>
      </c>
      <c r="E16" s="21">
        <f t="shared" si="1"/>
        <v>129</v>
      </c>
      <c r="F16" s="21" t="str">
        <f t="shared" si="2"/>
        <v>Can win</v>
      </c>
    </row>
    <row r="17" spans="1:6" x14ac:dyDescent="0.35">
      <c r="A17" s="20" t="str">
        <f>'F1 Championship'!A9</f>
        <v>Lando Norris</v>
      </c>
      <c r="B17" s="20" t="str">
        <f>'F1 Championship'!B9</f>
        <v>McLaren</v>
      </c>
      <c r="C17" s="21">
        <f>'F1 Championship'!M9</f>
        <v>188</v>
      </c>
      <c r="D17" s="21">
        <f t="shared" si="0"/>
        <v>371</v>
      </c>
      <c r="E17" s="21">
        <f t="shared" si="1"/>
        <v>132</v>
      </c>
      <c r="F17" s="21" t="str">
        <f t="shared" si="2"/>
        <v>Can win</v>
      </c>
    </row>
    <row r="18" spans="1:6" x14ac:dyDescent="0.35">
      <c r="A18" s="20" t="str">
        <f>'F1 Championship'!A10</f>
        <v>Max Verstappen</v>
      </c>
      <c r="B18" s="20" t="str">
        <f>'F1 Championship'!B10</f>
        <v>Red Bull Racing</v>
      </c>
      <c r="C18" s="21">
        <f>'F1 Championship'!M10</f>
        <v>188</v>
      </c>
      <c r="D18" s="21">
        <f t="shared" si="0"/>
        <v>371</v>
      </c>
      <c r="E18" s="21">
        <f t="shared" si="1"/>
        <v>132</v>
      </c>
      <c r="F18" s="21" t="str">
        <f t="shared" si="2"/>
        <v>Can win</v>
      </c>
    </row>
    <row r="19" spans="1:6" x14ac:dyDescent="0.35">
      <c r="A19" s="20" t="str">
        <f>'F1 Championship'!A11</f>
        <v>Oscar Piastri</v>
      </c>
      <c r="B19" s="20" t="str">
        <f>'F1 Championship'!B11</f>
        <v>McLaren</v>
      </c>
      <c r="C19" s="21">
        <f>'F1 Championship'!M11</f>
        <v>128</v>
      </c>
      <c r="D19" s="21">
        <f t="shared" si="0"/>
        <v>311</v>
      </c>
      <c r="E19" s="21">
        <f t="shared" si="1"/>
        <v>192</v>
      </c>
      <c r="F19" s="21" t="str">
        <f t="shared" si="2"/>
        <v>Eliminated</v>
      </c>
    </row>
    <row r="20" spans="1:6" x14ac:dyDescent="0.35">
      <c r="A20" s="20" t="str">
        <f>'F1 Championship'!A12</f>
        <v>Isack Hadjar</v>
      </c>
      <c r="B20" s="20" t="str">
        <f>'F1 Championship'!B12</f>
        <v>Red Bull Racing</v>
      </c>
      <c r="C20" s="21">
        <f>'F1 Championship'!M12</f>
        <v>96</v>
      </c>
      <c r="D20" s="21">
        <f t="shared" si="0"/>
        <v>279</v>
      </c>
      <c r="E20" s="21">
        <f t="shared" si="1"/>
        <v>224</v>
      </c>
      <c r="F20" s="21" t="str">
        <f t="shared" si="2"/>
        <v>Eliminated</v>
      </c>
    </row>
    <row r="21" spans="1:6" x14ac:dyDescent="0.35">
      <c r="A21" s="20" t="str">
        <f>'F1 Championship'!A13</f>
        <v>Liam Lawson</v>
      </c>
      <c r="B21" s="20" t="str">
        <f>'F1 Championship'!B13</f>
        <v>Racing Bulls</v>
      </c>
      <c r="C21" s="21">
        <f>'F1 Championship'!M13</f>
        <v>65</v>
      </c>
      <c r="D21" s="21">
        <f t="shared" si="0"/>
        <v>248</v>
      </c>
      <c r="E21" s="21">
        <f t="shared" si="1"/>
        <v>255</v>
      </c>
      <c r="F21" s="21" t="str">
        <f t="shared" si="2"/>
        <v>Eliminated</v>
      </c>
    </row>
    <row r="22" spans="1:6" x14ac:dyDescent="0.35">
      <c r="A22" s="20" t="str">
        <f>'F1 Championship'!A14</f>
        <v>Pierre Gasly</v>
      </c>
      <c r="B22" s="20" t="str">
        <f>'F1 Championship'!B14</f>
        <v>Alpine</v>
      </c>
      <c r="C22" s="21">
        <f>'F1 Championship'!M14</f>
        <v>41</v>
      </c>
      <c r="D22" s="21">
        <f t="shared" si="0"/>
        <v>224</v>
      </c>
      <c r="E22" s="21">
        <f t="shared" si="1"/>
        <v>279</v>
      </c>
      <c r="F22" s="21" t="str">
        <f t="shared" si="2"/>
        <v>Eliminated</v>
      </c>
    </row>
    <row r="23" spans="1:6" x14ac:dyDescent="0.35">
      <c r="A23" s="20" t="str">
        <f>'F1 Championship'!A15</f>
        <v>Arvid Lindblad</v>
      </c>
      <c r="B23" s="20" t="str">
        <f>'F1 Championship'!B15</f>
        <v>Racing Bulls</v>
      </c>
      <c r="C23" s="21">
        <f>'F1 Championship'!M15</f>
        <v>38</v>
      </c>
      <c r="D23" s="21">
        <f t="shared" si="0"/>
        <v>221</v>
      </c>
      <c r="E23" s="21">
        <f t="shared" si="1"/>
        <v>282</v>
      </c>
      <c r="F23" s="21" t="str">
        <f t="shared" si="2"/>
        <v>Eliminated</v>
      </c>
    </row>
    <row r="24" spans="1:6" x14ac:dyDescent="0.35">
      <c r="A24" s="20" t="str">
        <f>'F1 Championship'!A16</f>
        <v>Franco Colapinto</v>
      </c>
      <c r="B24" s="20" t="str">
        <f>'F1 Championship'!B16</f>
        <v>Alpine</v>
      </c>
      <c r="C24" s="21">
        <f>'F1 Championship'!M16</f>
        <v>27</v>
      </c>
      <c r="D24" s="21">
        <f t="shared" si="0"/>
        <v>210</v>
      </c>
      <c r="E24" s="21">
        <f t="shared" si="1"/>
        <v>293</v>
      </c>
      <c r="F24" s="21" t="str">
        <f t="shared" si="2"/>
        <v>Eliminated</v>
      </c>
    </row>
    <row r="25" spans="1:6" x14ac:dyDescent="0.35">
      <c r="A25" s="20" t="str">
        <f>'F1 Championship'!A17</f>
        <v>Oliver Bearman</v>
      </c>
      <c r="B25" s="20" t="str">
        <f>'F1 Championship'!B17</f>
        <v>Haas F1 Team</v>
      </c>
      <c r="C25" s="21">
        <f>'F1 Championship'!M17</f>
        <v>20</v>
      </c>
      <c r="D25" s="21">
        <f t="shared" si="0"/>
        <v>203</v>
      </c>
      <c r="E25" s="21">
        <f t="shared" si="1"/>
        <v>300</v>
      </c>
      <c r="F25" s="21" t="str">
        <f t="shared" si="2"/>
        <v>Eliminated</v>
      </c>
    </row>
    <row r="26" spans="1:6" x14ac:dyDescent="0.35">
      <c r="A26" s="20" t="str">
        <f>'F1 Championship'!A18</f>
        <v>Gabriel Bortoleto</v>
      </c>
      <c r="B26" s="20" t="str">
        <f>'F1 Championship'!B18</f>
        <v>Audi</v>
      </c>
      <c r="C26" s="21">
        <f>'F1 Championship'!M18</f>
        <v>10</v>
      </c>
      <c r="D26" s="21">
        <f t="shared" si="0"/>
        <v>193</v>
      </c>
      <c r="E26" s="21">
        <f t="shared" si="1"/>
        <v>310</v>
      </c>
      <c r="F26" s="21" t="str">
        <f t="shared" si="2"/>
        <v>Eliminated</v>
      </c>
    </row>
    <row r="27" spans="1:6" x14ac:dyDescent="0.35">
      <c r="A27" s="20" t="str">
        <f>'F1 Championship'!A19</f>
        <v>Nico Hulkenberg</v>
      </c>
      <c r="B27" s="20" t="str">
        <f>'F1 Championship'!B19</f>
        <v>Audi</v>
      </c>
      <c r="C27" s="21">
        <f>'F1 Championship'!M19</f>
        <v>7</v>
      </c>
      <c r="D27" s="21">
        <f t="shared" si="0"/>
        <v>190</v>
      </c>
      <c r="E27" s="21">
        <f t="shared" si="1"/>
        <v>313</v>
      </c>
      <c r="F27" s="21" t="str">
        <f t="shared" si="2"/>
        <v>Eliminated</v>
      </c>
    </row>
    <row r="28" spans="1:6" x14ac:dyDescent="0.35">
      <c r="A28" s="20" t="str">
        <f>'F1 Championship'!A20</f>
        <v>Esteban Ocon</v>
      </c>
      <c r="B28" s="20" t="str">
        <f>'F1 Championship'!B20</f>
        <v>Haas F1 Team</v>
      </c>
      <c r="C28" s="21">
        <f>'F1 Championship'!M20</f>
        <v>7</v>
      </c>
      <c r="D28" s="21">
        <f t="shared" si="0"/>
        <v>190</v>
      </c>
      <c r="E28" s="21">
        <f t="shared" si="1"/>
        <v>313</v>
      </c>
      <c r="F28" s="21" t="str">
        <f t="shared" si="2"/>
        <v>Eliminated</v>
      </c>
    </row>
    <row r="29" spans="1:6" x14ac:dyDescent="0.35">
      <c r="A29" s="20" t="str">
        <f>'F1 Championship'!A21</f>
        <v>Fernando Alonso</v>
      </c>
      <c r="B29" s="20" t="str">
        <f>'F1 Championship'!B21</f>
        <v>Aston Martin</v>
      </c>
      <c r="C29" s="21">
        <f>'F1 Championship'!M21</f>
        <v>7</v>
      </c>
      <c r="D29" s="21">
        <f t="shared" si="0"/>
        <v>190</v>
      </c>
      <c r="E29" s="21">
        <f t="shared" si="1"/>
        <v>313</v>
      </c>
      <c r="F29" s="21" t="str">
        <f t="shared" si="2"/>
        <v>Eliminated</v>
      </c>
    </row>
    <row r="30" spans="1:6" x14ac:dyDescent="0.35">
      <c r="A30" s="20" t="str">
        <f>'F1 Championship'!A22</f>
        <v>Carlos Sainz</v>
      </c>
      <c r="B30" s="20" t="str">
        <f>'F1 Championship'!B22</f>
        <v>Williams</v>
      </c>
      <c r="C30" s="21">
        <f>'F1 Championship'!M22</f>
        <v>7</v>
      </c>
      <c r="D30" s="21">
        <f t="shared" si="0"/>
        <v>190</v>
      </c>
      <c r="E30" s="21">
        <f t="shared" si="1"/>
        <v>313</v>
      </c>
      <c r="F30" s="21" t="str">
        <f t="shared" si="2"/>
        <v>Eliminated</v>
      </c>
    </row>
    <row r="31" spans="1:6" x14ac:dyDescent="0.35">
      <c r="A31" s="20" t="str">
        <f>'F1 Championship'!A23</f>
        <v>Alexander Albon</v>
      </c>
      <c r="B31" s="20" t="str">
        <f>'F1 Championship'!B23</f>
        <v>Williams</v>
      </c>
      <c r="C31" s="21">
        <f>'F1 Championship'!M23</f>
        <v>5</v>
      </c>
      <c r="D31" s="21">
        <f t="shared" si="0"/>
        <v>188</v>
      </c>
      <c r="E31" s="21">
        <f t="shared" si="1"/>
        <v>315</v>
      </c>
      <c r="F31" s="21" t="str">
        <f t="shared" si="2"/>
        <v>Eliminated</v>
      </c>
    </row>
    <row r="32" spans="1:6" x14ac:dyDescent="0.35">
      <c r="A32" s="20" t="str">
        <f>'F1 Championship'!A24</f>
        <v>Yuki Tsunoda</v>
      </c>
      <c r="B32" s="20" t="str">
        <f>'F1 Championship'!B24</f>
        <v>Racing Bulls</v>
      </c>
      <c r="C32" s="21">
        <f>'F1 Championship'!M24</f>
        <v>1</v>
      </c>
      <c r="D32" s="21">
        <f t="shared" si="0"/>
        <v>184</v>
      </c>
      <c r="E32" s="21">
        <f t="shared" si="1"/>
        <v>319</v>
      </c>
      <c r="F32" s="21" t="str">
        <f t="shared" si="2"/>
        <v>Eliminated</v>
      </c>
    </row>
    <row r="33" spans="1:11" x14ac:dyDescent="0.35">
      <c r="A33" s="20" t="str">
        <f>'F1 Championship'!A25</f>
        <v>Lance Stroll</v>
      </c>
      <c r="B33" s="20" t="str">
        <f>'F1 Championship'!B25</f>
        <v>Aston Martin</v>
      </c>
      <c r="C33" s="21">
        <f>'F1 Championship'!M25</f>
        <v>0</v>
      </c>
      <c r="D33" s="21">
        <f t="shared" si="0"/>
        <v>183</v>
      </c>
      <c r="E33" s="21">
        <f t="shared" si="1"/>
        <v>320</v>
      </c>
      <c r="F33" s="21" t="str">
        <f t="shared" si="2"/>
        <v>Eliminated</v>
      </c>
    </row>
    <row r="34" spans="1:11" x14ac:dyDescent="0.35">
      <c r="A34" s="20" t="str">
        <f>'F1 Championship'!A26</f>
        <v>Valtteri Bottas</v>
      </c>
      <c r="B34" s="20" t="str">
        <f>'F1 Championship'!B26</f>
        <v>Cadillac</v>
      </c>
      <c r="C34" s="21">
        <f>'F1 Championship'!M26</f>
        <v>0</v>
      </c>
      <c r="D34" s="21">
        <f t="shared" si="0"/>
        <v>183</v>
      </c>
      <c r="E34" s="21">
        <f t="shared" si="1"/>
        <v>320</v>
      </c>
      <c r="F34" s="21" t="str">
        <f t="shared" si="2"/>
        <v>Eliminated</v>
      </c>
    </row>
    <row r="35" spans="1:11" x14ac:dyDescent="0.35">
      <c r="A35" s="20" t="str">
        <f>'F1 Championship'!A27</f>
        <v>Sergio Perez</v>
      </c>
      <c r="B35" s="20" t="str">
        <f>'F1 Championship'!B27</f>
        <v>Cadillac</v>
      </c>
      <c r="C35" s="21">
        <f>'F1 Championship'!M27</f>
        <v>0</v>
      </c>
      <c r="D35" s="21">
        <f t="shared" si="0"/>
        <v>183</v>
      </c>
      <c r="E35" s="21">
        <f t="shared" si="1"/>
        <v>320</v>
      </c>
      <c r="F35" s="21" t="str">
        <f t="shared" si="2"/>
        <v>Eliminated</v>
      </c>
    </row>
    <row r="36" spans="1:11" x14ac:dyDescent="0.35">
      <c r="A36" s="38" t="s">
        <v>70</v>
      </c>
    </row>
    <row r="38" spans="1:11" x14ac:dyDescent="0.35">
      <c r="A38" s="18" t="s">
        <v>71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</row>
    <row r="39" spans="1:11" x14ac:dyDescent="0.35">
      <c r="A39" s="19" t="s">
        <v>2</v>
      </c>
      <c r="B39" s="19" t="s">
        <v>58</v>
      </c>
      <c r="C39" s="19" t="s">
        <v>5</v>
      </c>
      <c r="D39" s="19" t="s">
        <v>6</v>
      </c>
      <c r="E39" s="19" t="s">
        <v>78</v>
      </c>
      <c r="F39" s="19" t="s">
        <v>7</v>
      </c>
      <c r="G39" s="19" t="s">
        <v>8</v>
      </c>
      <c r="H39" s="19" t="s">
        <v>9</v>
      </c>
      <c r="I39" s="19" t="s">
        <v>10</v>
      </c>
      <c r="J39" s="19" t="s">
        <v>11</v>
      </c>
    </row>
    <row r="40" spans="1:11" x14ac:dyDescent="0.35">
      <c r="A40" s="20" t="str">
        <f>'F1 Championship'!A5</f>
        <v>Kimi Antonelli</v>
      </c>
      <c r="B40" s="21">
        <f>'F1 Championship'!C5</f>
        <v>320</v>
      </c>
      <c r="C40" s="21">
        <f>B40+IF('F1 Championship'!D5="",0,IFERROR(CHOOSE('F1 Championship'!D5,8,7,6,5,4,3,2,1,0,0,0,0,0,0,0,0,0,0,0,0),0))</f>
        <v>320</v>
      </c>
      <c r="D40" s="21">
        <f>C40+IF('F1 Championship'!E5="",0,IFERROR(CHOOSE('F1 Championship'!E5,25,18,15,12,10,8,6,4,2,1,0,0,0,0,0,0,0,0,0,0),0))</f>
        <v>320</v>
      </c>
      <c r="E40" s="21">
        <f>D40+IF('F1 Championship'!F5="",0,IFERROR(CHOOSE('F1 Championship'!F5,25,18,15,12,10,8,6,4,2,1,0,0,0,0,0,0,0,0,0,0),0))</f>
        <v>320</v>
      </c>
      <c r="F40" s="21">
        <f>E40+IF('F1 Championship'!G5="",0,IFERROR(CHOOSE('F1 Championship'!G5,25,18,15,12,10,8,6,4,2,1,0,0,0,0,0,0,0,0,0,0),0))</f>
        <v>320</v>
      </c>
      <c r="G40" s="21">
        <f>F40+IF('F1 Championship'!H5="",0,IFERROR(CHOOSE('F1 Championship'!H5,25,18,15,12,10,8,6,4,2,1,0,0,0,0,0,0,0,0,0,0),0))</f>
        <v>320</v>
      </c>
      <c r="H40" s="21">
        <f>G40+IF('F1 Championship'!I5="",0,IFERROR(CHOOSE('F1 Championship'!I5,25,18,15,12,10,8,6,4,2,1,0,0,0,0,0,0,0,0,0,0),0))</f>
        <v>320</v>
      </c>
      <c r="I40" s="21">
        <f>H40+IF('F1 Championship'!J5="",0,IFERROR(CHOOSE('F1 Championship'!J5,25,18,15,12,10,8,6,4,2,1,0,0,0,0,0,0,0,0,0,0),0))</f>
        <v>320</v>
      </c>
      <c r="J40" s="21">
        <f>I40+IF('F1 Championship'!K5="",0,IFERROR(CHOOSE('F1 Championship'!K5,25,18,15,12,10,8,6,4,2,1,0,0,0,0,0,0,0,0,0,0),0))</f>
        <v>320</v>
      </c>
    </row>
    <row r="41" spans="1:11" x14ac:dyDescent="0.35">
      <c r="A41" s="20" t="str">
        <f>'F1 Championship'!A6</f>
        <v>George Russell</v>
      </c>
      <c r="B41" s="21">
        <f>'F1 Championship'!C6</f>
        <v>236</v>
      </c>
      <c r="C41" s="21">
        <f>B41+IF('F1 Championship'!D6="",0,IFERROR(CHOOSE('F1 Championship'!D6,8,7,6,5,4,3,2,1,0,0,0,0,0,0,0,0,0,0,0,0),0))</f>
        <v>236</v>
      </c>
      <c r="D41" s="21">
        <f>C41+IF('F1 Championship'!E6="",0,IFERROR(CHOOSE('F1 Championship'!E6,25,18,15,12,10,8,6,4,2,1,0,0,0,0,0,0,0,0,0,0),0))</f>
        <v>236</v>
      </c>
      <c r="E41" s="21">
        <f>D41+IF('F1 Championship'!F6="",0,IFERROR(CHOOSE('F1 Championship'!F6,25,18,15,12,10,8,6,4,2,1,0,0,0,0,0,0,0,0,0,0),0))</f>
        <v>236</v>
      </c>
      <c r="F41" s="21">
        <f>E41+IF('F1 Championship'!G6="",0,IFERROR(CHOOSE('F1 Championship'!G6,25,18,15,12,10,8,6,4,2,1,0,0,0,0,0,0,0,0,0,0),0))</f>
        <v>236</v>
      </c>
      <c r="G41" s="21">
        <f>F41+IF('F1 Championship'!H6="",0,IFERROR(CHOOSE('F1 Championship'!H6,25,18,15,12,10,8,6,4,2,1,0,0,0,0,0,0,0,0,0,0),0))</f>
        <v>236</v>
      </c>
      <c r="H41" s="21">
        <f>G41+IF('F1 Championship'!I6="",0,IFERROR(CHOOSE('F1 Championship'!I6,25,18,15,12,10,8,6,4,2,1,0,0,0,0,0,0,0,0,0,0),0))</f>
        <v>236</v>
      </c>
      <c r="I41" s="21">
        <f>H41+IF('F1 Championship'!J6="",0,IFERROR(CHOOSE('F1 Championship'!J6,25,18,15,12,10,8,6,4,2,1,0,0,0,0,0,0,0,0,0,0),0))</f>
        <v>236</v>
      </c>
      <c r="J41" s="21">
        <f>I41+IF('F1 Championship'!K6="",0,IFERROR(CHOOSE('F1 Championship'!K6,25,18,15,12,10,8,6,4,2,1,0,0,0,0,0,0,0,0,0,0),0))</f>
        <v>236</v>
      </c>
    </row>
    <row r="42" spans="1:11" x14ac:dyDescent="0.35">
      <c r="A42" s="20" t="str">
        <f>'F1 Championship'!A7</f>
        <v>Lewis Hamilton</v>
      </c>
      <c r="B42" s="21">
        <f>'F1 Championship'!C7</f>
        <v>214</v>
      </c>
      <c r="C42" s="21">
        <f>B42+IF('F1 Championship'!D7="",0,IFERROR(CHOOSE('F1 Championship'!D7,8,7,6,5,4,3,2,1,0,0,0,0,0,0,0,0,0,0,0,0),0))</f>
        <v>214</v>
      </c>
      <c r="D42" s="21">
        <f>C42+IF('F1 Championship'!E7="",0,IFERROR(CHOOSE('F1 Championship'!E7,25,18,15,12,10,8,6,4,2,1,0,0,0,0,0,0,0,0,0,0),0))</f>
        <v>214</v>
      </c>
      <c r="E42" s="21">
        <f>D42+IF('F1 Championship'!F7="",0,IFERROR(CHOOSE('F1 Championship'!F7,25,18,15,12,10,8,6,4,2,1,0,0,0,0,0,0,0,0,0,0),0))</f>
        <v>214</v>
      </c>
      <c r="F42" s="21">
        <f>E42+IF('F1 Championship'!G7="",0,IFERROR(CHOOSE('F1 Championship'!G7,25,18,15,12,10,8,6,4,2,1,0,0,0,0,0,0,0,0,0,0),0))</f>
        <v>214</v>
      </c>
      <c r="G42" s="21">
        <f>F42+IF('F1 Championship'!H7="",0,IFERROR(CHOOSE('F1 Championship'!H7,25,18,15,12,10,8,6,4,2,1,0,0,0,0,0,0,0,0,0,0),0))</f>
        <v>214</v>
      </c>
      <c r="H42" s="21">
        <f>G42+IF('F1 Championship'!I7="",0,IFERROR(CHOOSE('F1 Championship'!I7,25,18,15,12,10,8,6,4,2,1,0,0,0,0,0,0,0,0,0,0),0))</f>
        <v>214</v>
      </c>
      <c r="I42" s="21">
        <f>H42+IF('F1 Championship'!J7="",0,IFERROR(CHOOSE('F1 Championship'!J7,25,18,15,12,10,8,6,4,2,1,0,0,0,0,0,0,0,0,0,0),0))</f>
        <v>214</v>
      </c>
      <c r="J42" s="21">
        <f>I42+IF('F1 Championship'!K7="",0,IFERROR(CHOOSE('F1 Championship'!K7,25,18,15,12,10,8,6,4,2,1,0,0,0,0,0,0,0,0,0,0),0))</f>
        <v>214</v>
      </c>
    </row>
    <row r="43" spans="1:11" x14ac:dyDescent="0.35">
      <c r="A43" s="20" t="str">
        <f>'F1 Championship'!A8</f>
        <v>Charles Leclerc</v>
      </c>
      <c r="B43" s="21">
        <f>'F1 Championship'!C8</f>
        <v>191</v>
      </c>
      <c r="C43" s="21">
        <f>B43+IF('F1 Championship'!D8="",0,IFERROR(CHOOSE('F1 Championship'!D8,8,7,6,5,4,3,2,1,0,0,0,0,0,0,0,0,0,0,0,0),0))</f>
        <v>191</v>
      </c>
      <c r="D43" s="21">
        <f>C43+IF('F1 Championship'!E8="",0,IFERROR(CHOOSE('F1 Championship'!E8,25,18,15,12,10,8,6,4,2,1,0,0,0,0,0,0,0,0,0,0),0))</f>
        <v>191</v>
      </c>
      <c r="E43" s="21">
        <f>D43+IF('F1 Championship'!F8="",0,IFERROR(CHOOSE('F1 Championship'!F8,25,18,15,12,10,8,6,4,2,1,0,0,0,0,0,0,0,0,0,0),0))</f>
        <v>191</v>
      </c>
      <c r="F43" s="21">
        <f>E43+IF('F1 Championship'!G8="",0,IFERROR(CHOOSE('F1 Championship'!G8,25,18,15,12,10,8,6,4,2,1,0,0,0,0,0,0,0,0,0,0),0))</f>
        <v>191</v>
      </c>
      <c r="G43" s="21">
        <f>F43+IF('F1 Championship'!H8="",0,IFERROR(CHOOSE('F1 Championship'!H8,25,18,15,12,10,8,6,4,2,1,0,0,0,0,0,0,0,0,0,0),0))</f>
        <v>191</v>
      </c>
      <c r="H43" s="21">
        <f>G43+IF('F1 Championship'!I8="",0,IFERROR(CHOOSE('F1 Championship'!I8,25,18,15,12,10,8,6,4,2,1,0,0,0,0,0,0,0,0,0,0),0))</f>
        <v>191</v>
      </c>
      <c r="I43" s="21">
        <f>H43+IF('F1 Championship'!J8="",0,IFERROR(CHOOSE('F1 Championship'!J8,25,18,15,12,10,8,6,4,2,1,0,0,0,0,0,0,0,0,0,0),0))</f>
        <v>191</v>
      </c>
      <c r="J43" s="21">
        <f>I43+IF('F1 Championship'!K8="",0,IFERROR(CHOOSE('F1 Championship'!K8,25,18,15,12,10,8,6,4,2,1,0,0,0,0,0,0,0,0,0,0),0))</f>
        <v>191</v>
      </c>
    </row>
    <row r="44" spans="1:11" x14ac:dyDescent="0.35">
      <c r="A44" s="20" t="str">
        <f>'F1 Championship'!A9</f>
        <v>Lando Norris</v>
      </c>
      <c r="B44" s="21">
        <f>'F1 Championship'!C9</f>
        <v>188</v>
      </c>
      <c r="C44" s="21">
        <f>B44+IF('F1 Championship'!D9="",0,IFERROR(CHOOSE('F1 Championship'!D9,8,7,6,5,4,3,2,1,0,0,0,0,0,0,0,0,0,0,0,0),0))</f>
        <v>188</v>
      </c>
      <c r="D44" s="21">
        <f>C44+IF('F1 Championship'!E9="",0,IFERROR(CHOOSE('F1 Championship'!E9,25,18,15,12,10,8,6,4,2,1,0,0,0,0,0,0,0,0,0,0),0))</f>
        <v>188</v>
      </c>
      <c r="E44" s="21">
        <f>D44+IF('F1 Championship'!F9="",0,IFERROR(CHOOSE('F1 Championship'!F9,25,18,15,12,10,8,6,4,2,1,0,0,0,0,0,0,0,0,0,0),0))</f>
        <v>188</v>
      </c>
      <c r="F44" s="21">
        <f>E44+IF('F1 Championship'!G9="",0,IFERROR(CHOOSE('F1 Championship'!G9,25,18,15,12,10,8,6,4,2,1,0,0,0,0,0,0,0,0,0,0),0))</f>
        <v>188</v>
      </c>
      <c r="G44" s="21">
        <f>F44+IF('F1 Championship'!H9="",0,IFERROR(CHOOSE('F1 Championship'!H9,25,18,15,12,10,8,6,4,2,1,0,0,0,0,0,0,0,0,0,0),0))</f>
        <v>188</v>
      </c>
      <c r="H44" s="21">
        <f>G44+IF('F1 Championship'!I9="",0,IFERROR(CHOOSE('F1 Championship'!I9,25,18,15,12,10,8,6,4,2,1,0,0,0,0,0,0,0,0,0,0),0))</f>
        <v>188</v>
      </c>
      <c r="I44" s="21">
        <f>H44+IF('F1 Championship'!J9="",0,IFERROR(CHOOSE('F1 Championship'!J9,25,18,15,12,10,8,6,4,2,1,0,0,0,0,0,0,0,0,0,0),0))</f>
        <v>188</v>
      </c>
      <c r="J44" s="21">
        <f>I44+IF('F1 Championship'!K9="",0,IFERROR(CHOOSE('F1 Championship'!K9,25,18,15,12,10,8,6,4,2,1,0,0,0,0,0,0,0,0,0,0),0))</f>
        <v>188</v>
      </c>
    </row>
    <row r="45" spans="1:11" x14ac:dyDescent="0.35">
      <c r="A45" s="20" t="str">
        <f>'F1 Championship'!A10</f>
        <v>Max Verstappen</v>
      </c>
      <c r="B45" s="21">
        <f>'F1 Championship'!C10</f>
        <v>188</v>
      </c>
      <c r="C45" s="21">
        <f>B45+IF('F1 Championship'!D10="",0,IFERROR(CHOOSE('F1 Championship'!D10,8,7,6,5,4,3,2,1,0,0,0,0,0,0,0,0,0,0,0,0),0))</f>
        <v>188</v>
      </c>
      <c r="D45" s="21">
        <f>C45+IF('F1 Championship'!E10="",0,IFERROR(CHOOSE('F1 Championship'!E10,25,18,15,12,10,8,6,4,2,1,0,0,0,0,0,0,0,0,0,0),0))</f>
        <v>188</v>
      </c>
      <c r="E45" s="21">
        <f>D45+IF('F1 Championship'!F10="",0,IFERROR(CHOOSE('F1 Championship'!F10,25,18,15,12,10,8,6,4,2,1,0,0,0,0,0,0,0,0,0,0),0))</f>
        <v>188</v>
      </c>
      <c r="F45" s="21">
        <f>E45+IF('F1 Championship'!G10="",0,IFERROR(CHOOSE('F1 Championship'!G10,25,18,15,12,10,8,6,4,2,1,0,0,0,0,0,0,0,0,0,0),0))</f>
        <v>188</v>
      </c>
      <c r="G45" s="21">
        <f>F45+IF('F1 Championship'!H10="",0,IFERROR(CHOOSE('F1 Championship'!H10,25,18,15,12,10,8,6,4,2,1,0,0,0,0,0,0,0,0,0,0),0))</f>
        <v>188</v>
      </c>
      <c r="H45" s="21">
        <f>G45+IF('F1 Championship'!I10="",0,IFERROR(CHOOSE('F1 Championship'!I10,25,18,15,12,10,8,6,4,2,1,0,0,0,0,0,0,0,0,0,0),0))</f>
        <v>188</v>
      </c>
      <c r="I45" s="21">
        <f>H45+IF('F1 Championship'!J10="",0,IFERROR(CHOOSE('F1 Championship'!J10,25,18,15,12,10,8,6,4,2,1,0,0,0,0,0,0,0,0,0,0),0))</f>
        <v>188</v>
      </c>
      <c r="J45" s="21">
        <f>I45+IF('F1 Championship'!K10="",0,IFERROR(CHOOSE('F1 Championship'!K10,25,18,15,12,10,8,6,4,2,1,0,0,0,0,0,0,0,0,0,0),0))</f>
        <v>188</v>
      </c>
    </row>
    <row r="46" spans="1:11" x14ac:dyDescent="0.35">
      <c r="A46" s="20" t="str">
        <f>'F1 Championship'!A11</f>
        <v>Oscar Piastri</v>
      </c>
      <c r="B46" s="21">
        <f>'F1 Championship'!C11</f>
        <v>128</v>
      </c>
      <c r="C46" s="21">
        <f>B46+IF('F1 Championship'!D11="",0,IFERROR(CHOOSE('F1 Championship'!D11,8,7,6,5,4,3,2,1,0,0,0,0,0,0,0,0,0,0,0,0),0))</f>
        <v>128</v>
      </c>
      <c r="D46" s="21">
        <f>C46+IF('F1 Championship'!E11="",0,IFERROR(CHOOSE('F1 Championship'!E11,25,18,15,12,10,8,6,4,2,1,0,0,0,0,0,0,0,0,0,0),0))</f>
        <v>128</v>
      </c>
      <c r="E46" s="21">
        <f>D46+IF('F1 Championship'!F11="",0,IFERROR(CHOOSE('F1 Championship'!F11,25,18,15,12,10,8,6,4,2,1,0,0,0,0,0,0,0,0,0,0),0))</f>
        <v>128</v>
      </c>
      <c r="F46" s="21">
        <f>E46+IF('F1 Championship'!G11="",0,IFERROR(CHOOSE('F1 Championship'!G11,25,18,15,12,10,8,6,4,2,1,0,0,0,0,0,0,0,0,0,0),0))</f>
        <v>128</v>
      </c>
      <c r="G46" s="21">
        <f>F46+IF('F1 Championship'!H11="",0,IFERROR(CHOOSE('F1 Championship'!H11,25,18,15,12,10,8,6,4,2,1,0,0,0,0,0,0,0,0,0,0),0))</f>
        <v>128</v>
      </c>
      <c r="H46" s="21">
        <f>G46+IF('F1 Championship'!I11="",0,IFERROR(CHOOSE('F1 Championship'!I11,25,18,15,12,10,8,6,4,2,1,0,0,0,0,0,0,0,0,0,0),0))</f>
        <v>128</v>
      </c>
      <c r="I46" s="21">
        <f>H46+IF('F1 Championship'!J11="",0,IFERROR(CHOOSE('F1 Championship'!J11,25,18,15,12,10,8,6,4,2,1,0,0,0,0,0,0,0,0,0,0),0))</f>
        <v>128</v>
      </c>
      <c r="J46" s="21">
        <f>I46+IF('F1 Championship'!K11="",0,IFERROR(CHOOSE('F1 Championship'!K11,25,18,15,12,10,8,6,4,2,1,0,0,0,0,0,0,0,0,0,0),0))</f>
        <v>128</v>
      </c>
    </row>
    <row r="47" spans="1:11" x14ac:dyDescent="0.35">
      <c r="A47" s="20" t="str">
        <f>'F1 Championship'!A12</f>
        <v>Isack Hadjar</v>
      </c>
      <c r="B47" s="21">
        <f>'F1 Championship'!C12</f>
        <v>96</v>
      </c>
      <c r="C47" s="21">
        <f>B47+IF('F1 Championship'!D12="",0,IFERROR(CHOOSE('F1 Championship'!D12,8,7,6,5,4,3,2,1,0,0,0,0,0,0,0,0,0,0,0,0),0))</f>
        <v>96</v>
      </c>
      <c r="D47" s="21">
        <f>C47+IF('F1 Championship'!E12="",0,IFERROR(CHOOSE('F1 Championship'!E12,25,18,15,12,10,8,6,4,2,1,0,0,0,0,0,0,0,0,0,0),0))</f>
        <v>96</v>
      </c>
      <c r="E47" s="21">
        <f>D47+IF('F1 Championship'!F12="",0,IFERROR(CHOOSE('F1 Championship'!F12,25,18,15,12,10,8,6,4,2,1,0,0,0,0,0,0,0,0,0,0),0))</f>
        <v>96</v>
      </c>
      <c r="F47" s="21">
        <f>E47+IF('F1 Championship'!G12="",0,IFERROR(CHOOSE('F1 Championship'!G12,25,18,15,12,10,8,6,4,2,1,0,0,0,0,0,0,0,0,0,0),0))</f>
        <v>96</v>
      </c>
      <c r="G47" s="21">
        <f>F47+IF('F1 Championship'!H12="",0,IFERROR(CHOOSE('F1 Championship'!H12,25,18,15,12,10,8,6,4,2,1,0,0,0,0,0,0,0,0,0,0),0))</f>
        <v>96</v>
      </c>
      <c r="H47" s="21">
        <f>G47+IF('F1 Championship'!I12="",0,IFERROR(CHOOSE('F1 Championship'!I12,25,18,15,12,10,8,6,4,2,1,0,0,0,0,0,0,0,0,0,0),0))</f>
        <v>96</v>
      </c>
      <c r="I47" s="21">
        <f>H47+IF('F1 Championship'!J12="",0,IFERROR(CHOOSE('F1 Championship'!J12,25,18,15,12,10,8,6,4,2,1,0,0,0,0,0,0,0,0,0,0),0))</f>
        <v>96</v>
      </c>
      <c r="J47" s="21">
        <f>I47+IF('F1 Championship'!K12="",0,IFERROR(CHOOSE('F1 Championship'!K12,25,18,15,12,10,8,6,4,2,1,0,0,0,0,0,0,0,0,0,0),0))</f>
        <v>96</v>
      </c>
    </row>
    <row r="48" spans="1:11" x14ac:dyDescent="0.35">
      <c r="A48" s="20" t="str">
        <f>'F1 Championship'!A13</f>
        <v>Liam Lawson</v>
      </c>
      <c r="B48" s="21">
        <f>'F1 Championship'!C13</f>
        <v>65</v>
      </c>
      <c r="C48" s="21">
        <f>B48+IF('F1 Championship'!D13="",0,IFERROR(CHOOSE('F1 Championship'!D13,8,7,6,5,4,3,2,1,0,0,0,0,0,0,0,0,0,0,0,0),0))</f>
        <v>65</v>
      </c>
      <c r="D48" s="21">
        <f>C48+IF('F1 Championship'!E13="",0,IFERROR(CHOOSE('F1 Championship'!E13,25,18,15,12,10,8,6,4,2,1,0,0,0,0,0,0,0,0,0,0),0))</f>
        <v>65</v>
      </c>
      <c r="E48" s="21">
        <f>D48+IF('F1 Championship'!F13="",0,IFERROR(CHOOSE('F1 Championship'!F13,25,18,15,12,10,8,6,4,2,1,0,0,0,0,0,0,0,0,0,0),0))</f>
        <v>65</v>
      </c>
      <c r="F48" s="21">
        <f>E48+IF('F1 Championship'!G13="",0,IFERROR(CHOOSE('F1 Championship'!G13,25,18,15,12,10,8,6,4,2,1,0,0,0,0,0,0,0,0,0,0),0))</f>
        <v>65</v>
      </c>
      <c r="G48" s="21">
        <f>F48+IF('F1 Championship'!H13="",0,IFERROR(CHOOSE('F1 Championship'!H13,25,18,15,12,10,8,6,4,2,1,0,0,0,0,0,0,0,0,0,0),0))</f>
        <v>65</v>
      </c>
      <c r="H48" s="21">
        <f>G48+IF('F1 Championship'!I13="",0,IFERROR(CHOOSE('F1 Championship'!I13,25,18,15,12,10,8,6,4,2,1,0,0,0,0,0,0,0,0,0,0),0))</f>
        <v>65</v>
      </c>
      <c r="I48" s="21">
        <f>H48+IF('F1 Championship'!J13="",0,IFERROR(CHOOSE('F1 Championship'!J13,25,18,15,12,10,8,6,4,2,1,0,0,0,0,0,0,0,0,0,0),0))</f>
        <v>65</v>
      </c>
      <c r="J48" s="21">
        <f>I48+IF('F1 Championship'!K13="",0,IFERROR(CHOOSE('F1 Championship'!K13,25,18,15,12,10,8,6,4,2,1,0,0,0,0,0,0,0,0,0,0),0))</f>
        <v>65</v>
      </c>
    </row>
    <row r="49" spans="1:10" x14ac:dyDescent="0.35">
      <c r="A49" s="20" t="str">
        <f>'F1 Championship'!A14</f>
        <v>Pierre Gasly</v>
      </c>
      <c r="B49" s="21">
        <f>'F1 Championship'!C14</f>
        <v>41</v>
      </c>
      <c r="C49" s="21">
        <f>B49+IF('F1 Championship'!D14="",0,IFERROR(CHOOSE('F1 Championship'!D14,8,7,6,5,4,3,2,1,0,0,0,0,0,0,0,0,0,0,0,0),0))</f>
        <v>41</v>
      </c>
      <c r="D49" s="21">
        <f>C49+IF('F1 Championship'!E14="",0,IFERROR(CHOOSE('F1 Championship'!E14,25,18,15,12,10,8,6,4,2,1,0,0,0,0,0,0,0,0,0,0),0))</f>
        <v>41</v>
      </c>
      <c r="E49" s="21">
        <f>D49+IF('F1 Championship'!F14="",0,IFERROR(CHOOSE('F1 Championship'!F14,25,18,15,12,10,8,6,4,2,1,0,0,0,0,0,0,0,0,0,0),0))</f>
        <v>41</v>
      </c>
      <c r="F49" s="21">
        <f>E49+IF('F1 Championship'!G14="",0,IFERROR(CHOOSE('F1 Championship'!G14,25,18,15,12,10,8,6,4,2,1,0,0,0,0,0,0,0,0,0,0),0))</f>
        <v>41</v>
      </c>
      <c r="G49" s="21">
        <f>F49+IF('F1 Championship'!H14="",0,IFERROR(CHOOSE('F1 Championship'!H14,25,18,15,12,10,8,6,4,2,1,0,0,0,0,0,0,0,0,0,0),0))</f>
        <v>41</v>
      </c>
      <c r="H49" s="21">
        <f>G49+IF('F1 Championship'!I14="",0,IFERROR(CHOOSE('F1 Championship'!I14,25,18,15,12,10,8,6,4,2,1,0,0,0,0,0,0,0,0,0,0),0))</f>
        <v>41</v>
      </c>
      <c r="I49" s="21">
        <f>H49+IF('F1 Championship'!J14="",0,IFERROR(CHOOSE('F1 Championship'!J14,25,18,15,12,10,8,6,4,2,1,0,0,0,0,0,0,0,0,0,0),0))</f>
        <v>41</v>
      </c>
      <c r="J49" s="21">
        <f>I49+IF('F1 Championship'!K14="",0,IFERROR(CHOOSE('F1 Championship'!K14,25,18,15,12,10,8,6,4,2,1,0,0,0,0,0,0,0,0,0,0),0))</f>
        <v>41</v>
      </c>
    </row>
    <row r="50" spans="1:10" x14ac:dyDescent="0.35">
      <c r="A50" s="20" t="str">
        <f>'F1 Championship'!A15</f>
        <v>Arvid Lindblad</v>
      </c>
      <c r="B50" s="21">
        <f>'F1 Championship'!C15</f>
        <v>38</v>
      </c>
      <c r="C50" s="21">
        <f>B50+IF('F1 Championship'!D15="",0,IFERROR(CHOOSE('F1 Championship'!D15,8,7,6,5,4,3,2,1,0,0,0,0,0,0,0,0,0,0,0,0),0))</f>
        <v>38</v>
      </c>
      <c r="D50" s="21">
        <f>C50+IF('F1 Championship'!E15="",0,IFERROR(CHOOSE('F1 Championship'!E15,25,18,15,12,10,8,6,4,2,1,0,0,0,0,0,0,0,0,0,0),0))</f>
        <v>38</v>
      </c>
      <c r="E50" s="21">
        <f>D50+IF('F1 Championship'!F15="",0,IFERROR(CHOOSE('F1 Championship'!F15,25,18,15,12,10,8,6,4,2,1,0,0,0,0,0,0,0,0,0,0),0))</f>
        <v>38</v>
      </c>
      <c r="F50" s="21">
        <f>E50+IF('F1 Championship'!G15="",0,IFERROR(CHOOSE('F1 Championship'!G15,25,18,15,12,10,8,6,4,2,1,0,0,0,0,0,0,0,0,0,0),0))</f>
        <v>38</v>
      </c>
      <c r="G50" s="21">
        <f>F50+IF('F1 Championship'!H15="",0,IFERROR(CHOOSE('F1 Championship'!H15,25,18,15,12,10,8,6,4,2,1,0,0,0,0,0,0,0,0,0,0),0))</f>
        <v>38</v>
      </c>
      <c r="H50" s="21">
        <f>G50+IF('F1 Championship'!I15="",0,IFERROR(CHOOSE('F1 Championship'!I15,25,18,15,12,10,8,6,4,2,1,0,0,0,0,0,0,0,0,0,0),0))</f>
        <v>38</v>
      </c>
      <c r="I50" s="21">
        <f>H50+IF('F1 Championship'!J15="",0,IFERROR(CHOOSE('F1 Championship'!J15,25,18,15,12,10,8,6,4,2,1,0,0,0,0,0,0,0,0,0,0),0))</f>
        <v>38</v>
      </c>
      <c r="J50" s="21">
        <f>I50+IF('F1 Championship'!K15="",0,IFERROR(CHOOSE('F1 Championship'!K15,25,18,15,12,10,8,6,4,2,1,0,0,0,0,0,0,0,0,0,0),0))</f>
        <v>38</v>
      </c>
    </row>
    <row r="51" spans="1:10" x14ac:dyDescent="0.35">
      <c r="A51" s="20" t="str">
        <f>'F1 Championship'!A16</f>
        <v>Franco Colapinto</v>
      </c>
      <c r="B51" s="21">
        <f>'F1 Championship'!C16</f>
        <v>27</v>
      </c>
      <c r="C51" s="21">
        <f>B51+IF('F1 Championship'!D16="",0,IFERROR(CHOOSE('F1 Championship'!D16,8,7,6,5,4,3,2,1,0,0,0,0,0,0,0,0,0,0,0,0),0))</f>
        <v>27</v>
      </c>
      <c r="D51" s="21">
        <f>C51+IF('F1 Championship'!E16="",0,IFERROR(CHOOSE('F1 Championship'!E16,25,18,15,12,10,8,6,4,2,1,0,0,0,0,0,0,0,0,0,0),0))</f>
        <v>27</v>
      </c>
      <c r="E51" s="21">
        <f>D51+IF('F1 Championship'!F16="",0,IFERROR(CHOOSE('F1 Championship'!F16,25,18,15,12,10,8,6,4,2,1,0,0,0,0,0,0,0,0,0,0),0))</f>
        <v>27</v>
      </c>
      <c r="F51" s="21">
        <f>E51+IF('F1 Championship'!G16="",0,IFERROR(CHOOSE('F1 Championship'!G16,25,18,15,12,10,8,6,4,2,1,0,0,0,0,0,0,0,0,0,0),0))</f>
        <v>27</v>
      </c>
      <c r="G51" s="21">
        <f>F51+IF('F1 Championship'!H16="",0,IFERROR(CHOOSE('F1 Championship'!H16,25,18,15,12,10,8,6,4,2,1,0,0,0,0,0,0,0,0,0,0),0))</f>
        <v>27</v>
      </c>
      <c r="H51" s="21">
        <f>G51+IF('F1 Championship'!I16="",0,IFERROR(CHOOSE('F1 Championship'!I16,25,18,15,12,10,8,6,4,2,1,0,0,0,0,0,0,0,0,0,0),0))</f>
        <v>27</v>
      </c>
      <c r="I51" s="21">
        <f>H51+IF('F1 Championship'!J16="",0,IFERROR(CHOOSE('F1 Championship'!J16,25,18,15,12,10,8,6,4,2,1,0,0,0,0,0,0,0,0,0,0),0))</f>
        <v>27</v>
      </c>
      <c r="J51" s="21">
        <f>I51+IF('F1 Championship'!K16="",0,IFERROR(CHOOSE('F1 Championship'!K16,25,18,15,12,10,8,6,4,2,1,0,0,0,0,0,0,0,0,0,0),0))</f>
        <v>27</v>
      </c>
    </row>
    <row r="52" spans="1:10" x14ac:dyDescent="0.35">
      <c r="A52" s="20" t="str">
        <f>'F1 Championship'!A17</f>
        <v>Oliver Bearman</v>
      </c>
      <c r="B52" s="21">
        <f>'F1 Championship'!C17</f>
        <v>20</v>
      </c>
      <c r="C52" s="21">
        <f>B52+IF('F1 Championship'!D17="",0,IFERROR(CHOOSE('F1 Championship'!D17,8,7,6,5,4,3,2,1,0,0,0,0,0,0,0,0,0,0,0,0),0))</f>
        <v>20</v>
      </c>
      <c r="D52" s="21">
        <f>C52+IF('F1 Championship'!E17="",0,IFERROR(CHOOSE('F1 Championship'!E17,25,18,15,12,10,8,6,4,2,1,0,0,0,0,0,0,0,0,0,0),0))</f>
        <v>20</v>
      </c>
      <c r="E52" s="21">
        <f>D52+IF('F1 Championship'!F17="",0,IFERROR(CHOOSE('F1 Championship'!F17,25,18,15,12,10,8,6,4,2,1,0,0,0,0,0,0,0,0,0,0),0))</f>
        <v>20</v>
      </c>
      <c r="F52" s="21">
        <f>E52+IF('F1 Championship'!G17="",0,IFERROR(CHOOSE('F1 Championship'!G17,25,18,15,12,10,8,6,4,2,1,0,0,0,0,0,0,0,0,0,0),0))</f>
        <v>20</v>
      </c>
      <c r="G52" s="21">
        <f>F52+IF('F1 Championship'!H17="",0,IFERROR(CHOOSE('F1 Championship'!H17,25,18,15,12,10,8,6,4,2,1,0,0,0,0,0,0,0,0,0,0),0))</f>
        <v>20</v>
      </c>
      <c r="H52" s="21">
        <f>G52+IF('F1 Championship'!I17="",0,IFERROR(CHOOSE('F1 Championship'!I17,25,18,15,12,10,8,6,4,2,1,0,0,0,0,0,0,0,0,0,0),0))</f>
        <v>20</v>
      </c>
      <c r="I52" s="21">
        <f>H52+IF('F1 Championship'!J17="",0,IFERROR(CHOOSE('F1 Championship'!J17,25,18,15,12,10,8,6,4,2,1,0,0,0,0,0,0,0,0,0,0),0))</f>
        <v>20</v>
      </c>
      <c r="J52" s="21">
        <f>I52+IF('F1 Championship'!K17="",0,IFERROR(CHOOSE('F1 Championship'!K17,25,18,15,12,10,8,6,4,2,1,0,0,0,0,0,0,0,0,0,0),0))</f>
        <v>20</v>
      </c>
    </row>
    <row r="53" spans="1:10" x14ac:dyDescent="0.35">
      <c r="A53" s="20" t="str">
        <f>'F1 Championship'!A18</f>
        <v>Gabriel Bortoleto</v>
      </c>
      <c r="B53" s="21">
        <f>'F1 Championship'!C18</f>
        <v>10</v>
      </c>
      <c r="C53" s="21">
        <f>B53+IF('F1 Championship'!D18="",0,IFERROR(CHOOSE('F1 Championship'!D18,8,7,6,5,4,3,2,1,0,0,0,0,0,0,0,0,0,0,0,0),0))</f>
        <v>10</v>
      </c>
      <c r="D53" s="21">
        <f>C53+IF('F1 Championship'!E18="",0,IFERROR(CHOOSE('F1 Championship'!E18,25,18,15,12,10,8,6,4,2,1,0,0,0,0,0,0,0,0,0,0),0))</f>
        <v>10</v>
      </c>
      <c r="E53" s="21">
        <f>D53+IF('F1 Championship'!F18="",0,IFERROR(CHOOSE('F1 Championship'!F18,25,18,15,12,10,8,6,4,2,1,0,0,0,0,0,0,0,0,0,0),0))</f>
        <v>10</v>
      </c>
      <c r="F53" s="21">
        <f>E53+IF('F1 Championship'!G18="",0,IFERROR(CHOOSE('F1 Championship'!G18,25,18,15,12,10,8,6,4,2,1,0,0,0,0,0,0,0,0,0,0),0))</f>
        <v>10</v>
      </c>
      <c r="G53" s="21">
        <f>F53+IF('F1 Championship'!H18="",0,IFERROR(CHOOSE('F1 Championship'!H18,25,18,15,12,10,8,6,4,2,1,0,0,0,0,0,0,0,0,0,0),0))</f>
        <v>10</v>
      </c>
      <c r="H53" s="21">
        <f>G53+IF('F1 Championship'!I18="",0,IFERROR(CHOOSE('F1 Championship'!I18,25,18,15,12,10,8,6,4,2,1,0,0,0,0,0,0,0,0,0,0),0))</f>
        <v>10</v>
      </c>
      <c r="I53" s="21">
        <f>H53+IF('F1 Championship'!J18="",0,IFERROR(CHOOSE('F1 Championship'!J18,25,18,15,12,10,8,6,4,2,1,0,0,0,0,0,0,0,0,0,0),0))</f>
        <v>10</v>
      </c>
      <c r="J53" s="21">
        <f>I53+IF('F1 Championship'!K18="",0,IFERROR(CHOOSE('F1 Championship'!K18,25,18,15,12,10,8,6,4,2,1,0,0,0,0,0,0,0,0,0,0),0))</f>
        <v>10</v>
      </c>
    </row>
    <row r="54" spans="1:10" x14ac:dyDescent="0.35">
      <c r="A54" s="20" t="str">
        <f>'F1 Championship'!A19</f>
        <v>Nico Hulkenberg</v>
      </c>
      <c r="B54" s="21">
        <f>'F1 Championship'!C19</f>
        <v>7</v>
      </c>
      <c r="C54" s="21">
        <f>B54+IF('F1 Championship'!D19="",0,IFERROR(CHOOSE('F1 Championship'!D19,8,7,6,5,4,3,2,1,0,0,0,0,0,0,0,0,0,0,0,0),0))</f>
        <v>7</v>
      </c>
      <c r="D54" s="21">
        <f>C54+IF('F1 Championship'!E19="",0,IFERROR(CHOOSE('F1 Championship'!E19,25,18,15,12,10,8,6,4,2,1,0,0,0,0,0,0,0,0,0,0),0))</f>
        <v>7</v>
      </c>
      <c r="E54" s="21">
        <f>D54+IF('F1 Championship'!F19="",0,IFERROR(CHOOSE('F1 Championship'!F19,25,18,15,12,10,8,6,4,2,1,0,0,0,0,0,0,0,0,0,0),0))</f>
        <v>7</v>
      </c>
      <c r="F54" s="21">
        <f>E54+IF('F1 Championship'!G19="",0,IFERROR(CHOOSE('F1 Championship'!G19,25,18,15,12,10,8,6,4,2,1,0,0,0,0,0,0,0,0,0,0),0))</f>
        <v>7</v>
      </c>
      <c r="G54" s="21">
        <f>F54+IF('F1 Championship'!H19="",0,IFERROR(CHOOSE('F1 Championship'!H19,25,18,15,12,10,8,6,4,2,1,0,0,0,0,0,0,0,0,0,0),0))</f>
        <v>7</v>
      </c>
      <c r="H54" s="21">
        <f>G54+IF('F1 Championship'!I19="",0,IFERROR(CHOOSE('F1 Championship'!I19,25,18,15,12,10,8,6,4,2,1,0,0,0,0,0,0,0,0,0,0),0))</f>
        <v>7</v>
      </c>
      <c r="I54" s="21">
        <f>H54+IF('F1 Championship'!J19="",0,IFERROR(CHOOSE('F1 Championship'!J19,25,18,15,12,10,8,6,4,2,1,0,0,0,0,0,0,0,0,0,0),0))</f>
        <v>7</v>
      </c>
      <c r="J54" s="21">
        <f>I54+IF('F1 Championship'!K19="",0,IFERROR(CHOOSE('F1 Championship'!K19,25,18,15,12,10,8,6,4,2,1,0,0,0,0,0,0,0,0,0,0),0))</f>
        <v>7</v>
      </c>
    </row>
    <row r="55" spans="1:10" x14ac:dyDescent="0.35">
      <c r="A55" s="20" t="str">
        <f>'F1 Championship'!A20</f>
        <v>Esteban Ocon</v>
      </c>
      <c r="B55" s="21">
        <f>'F1 Championship'!C20</f>
        <v>7</v>
      </c>
      <c r="C55" s="21">
        <f>B55+IF('F1 Championship'!D20="",0,IFERROR(CHOOSE('F1 Championship'!D20,8,7,6,5,4,3,2,1,0,0,0,0,0,0,0,0,0,0,0,0),0))</f>
        <v>7</v>
      </c>
      <c r="D55" s="21">
        <f>C55+IF('F1 Championship'!E20="",0,IFERROR(CHOOSE('F1 Championship'!E20,25,18,15,12,10,8,6,4,2,1,0,0,0,0,0,0,0,0,0,0),0))</f>
        <v>7</v>
      </c>
      <c r="E55" s="21">
        <f>D55+IF('F1 Championship'!F20="",0,IFERROR(CHOOSE('F1 Championship'!F20,25,18,15,12,10,8,6,4,2,1,0,0,0,0,0,0,0,0,0,0),0))</f>
        <v>7</v>
      </c>
      <c r="F55" s="21">
        <f>E55+IF('F1 Championship'!G20="",0,IFERROR(CHOOSE('F1 Championship'!G20,25,18,15,12,10,8,6,4,2,1,0,0,0,0,0,0,0,0,0,0),0))</f>
        <v>7</v>
      </c>
      <c r="G55" s="21">
        <f>F55+IF('F1 Championship'!H20="",0,IFERROR(CHOOSE('F1 Championship'!H20,25,18,15,12,10,8,6,4,2,1,0,0,0,0,0,0,0,0,0,0),0))</f>
        <v>7</v>
      </c>
      <c r="H55" s="21">
        <f>G55+IF('F1 Championship'!I20="",0,IFERROR(CHOOSE('F1 Championship'!I20,25,18,15,12,10,8,6,4,2,1,0,0,0,0,0,0,0,0,0,0),0))</f>
        <v>7</v>
      </c>
      <c r="I55" s="21">
        <f>H55+IF('F1 Championship'!J20="",0,IFERROR(CHOOSE('F1 Championship'!J20,25,18,15,12,10,8,6,4,2,1,0,0,0,0,0,0,0,0,0,0),0))</f>
        <v>7</v>
      </c>
      <c r="J55" s="21">
        <f>I55+IF('F1 Championship'!K20="",0,IFERROR(CHOOSE('F1 Championship'!K20,25,18,15,12,10,8,6,4,2,1,0,0,0,0,0,0,0,0,0,0),0))</f>
        <v>7</v>
      </c>
    </row>
    <row r="56" spans="1:10" x14ac:dyDescent="0.35">
      <c r="A56" s="20" t="str">
        <f>'F1 Championship'!A21</f>
        <v>Fernando Alonso</v>
      </c>
      <c r="B56" s="21">
        <f>'F1 Championship'!C21</f>
        <v>7</v>
      </c>
      <c r="C56" s="21">
        <f>B56+IF('F1 Championship'!D21="",0,IFERROR(CHOOSE('F1 Championship'!D21,8,7,6,5,4,3,2,1,0,0,0,0,0,0,0,0,0,0,0,0),0))</f>
        <v>7</v>
      </c>
      <c r="D56" s="21">
        <f>C56+IF('F1 Championship'!E21="",0,IFERROR(CHOOSE('F1 Championship'!E21,25,18,15,12,10,8,6,4,2,1,0,0,0,0,0,0,0,0,0,0),0))</f>
        <v>7</v>
      </c>
      <c r="E56" s="21">
        <f>D56+IF('F1 Championship'!F21="",0,IFERROR(CHOOSE('F1 Championship'!F21,25,18,15,12,10,8,6,4,2,1,0,0,0,0,0,0,0,0,0,0),0))</f>
        <v>7</v>
      </c>
      <c r="F56" s="21">
        <f>E56+IF('F1 Championship'!G21="",0,IFERROR(CHOOSE('F1 Championship'!G21,25,18,15,12,10,8,6,4,2,1,0,0,0,0,0,0,0,0,0,0),0))</f>
        <v>7</v>
      </c>
      <c r="G56" s="21">
        <f>F56+IF('F1 Championship'!H21="",0,IFERROR(CHOOSE('F1 Championship'!H21,25,18,15,12,10,8,6,4,2,1,0,0,0,0,0,0,0,0,0,0),0))</f>
        <v>7</v>
      </c>
      <c r="H56" s="21">
        <f>G56+IF('F1 Championship'!I21="",0,IFERROR(CHOOSE('F1 Championship'!I21,25,18,15,12,10,8,6,4,2,1,0,0,0,0,0,0,0,0,0,0),0))</f>
        <v>7</v>
      </c>
      <c r="I56" s="21">
        <f>H56+IF('F1 Championship'!J21="",0,IFERROR(CHOOSE('F1 Championship'!J21,25,18,15,12,10,8,6,4,2,1,0,0,0,0,0,0,0,0,0,0),0))</f>
        <v>7</v>
      </c>
      <c r="J56" s="21">
        <f>I56+IF('F1 Championship'!K21="",0,IFERROR(CHOOSE('F1 Championship'!K21,25,18,15,12,10,8,6,4,2,1,0,0,0,0,0,0,0,0,0,0),0))</f>
        <v>7</v>
      </c>
    </row>
    <row r="57" spans="1:10" x14ac:dyDescent="0.35">
      <c r="A57" s="20" t="str">
        <f>'F1 Championship'!A22</f>
        <v>Carlos Sainz</v>
      </c>
      <c r="B57" s="21">
        <f>'F1 Championship'!C22</f>
        <v>7</v>
      </c>
      <c r="C57" s="21">
        <f>B57+IF('F1 Championship'!D22="",0,IFERROR(CHOOSE('F1 Championship'!D22,8,7,6,5,4,3,2,1,0,0,0,0,0,0,0,0,0,0,0,0),0))</f>
        <v>7</v>
      </c>
      <c r="D57" s="21">
        <f>C57+IF('F1 Championship'!E22="",0,IFERROR(CHOOSE('F1 Championship'!E22,25,18,15,12,10,8,6,4,2,1,0,0,0,0,0,0,0,0,0,0),0))</f>
        <v>7</v>
      </c>
      <c r="E57" s="21">
        <f>D57+IF('F1 Championship'!F22="",0,IFERROR(CHOOSE('F1 Championship'!F22,25,18,15,12,10,8,6,4,2,1,0,0,0,0,0,0,0,0,0,0),0))</f>
        <v>7</v>
      </c>
      <c r="F57" s="21">
        <f>E57+IF('F1 Championship'!G22="",0,IFERROR(CHOOSE('F1 Championship'!G22,25,18,15,12,10,8,6,4,2,1,0,0,0,0,0,0,0,0,0,0),0))</f>
        <v>7</v>
      </c>
      <c r="G57" s="21">
        <f>F57+IF('F1 Championship'!H22="",0,IFERROR(CHOOSE('F1 Championship'!H22,25,18,15,12,10,8,6,4,2,1,0,0,0,0,0,0,0,0,0,0),0))</f>
        <v>7</v>
      </c>
      <c r="H57" s="21">
        <f>G57+IF('F1 Championship'!I22="",0,IFERROR(CHOOSE('F1 Championship'!I22,25,18,15,12,10,8,6,4,2,1,0,0,0,0,0,0,0,0,0,0),0))</f>
        <v>7</v>
      </c>
      <c r="I57" s="21">
        <f>H57+IF('F1 Championship'!J22="",0,IFERROR(CHOOSE('F1 Championship'!J22,25,18,15,12,10,8,6,4,2,1,0,0,0,0,0,0,0,0,0,0),0))</f>
        <v>7</v>
      </c>
      <c r="J57" s="21">
        <f>I57+IF('F1 Championship'!K22="",0,IFERROR(CHOOSE('F1 Championship'!K22,25,18,15,12,10,8,6,4,2,1,0,0,0,0,0,0,0,0,0,0),0))</f>
        <v>7</v>
      </c>
    </row>
    <row r="58" spans="1:10" x14ac:dyDescent="0.35">
      <c r="A58" s="20" t="str">
        <f>'F1 Championship'!A23</f>
        <v>Alexander Albon</v>
      </c>
      <c r="B58" s="21">
        <f>'F1 Championship'!C23</f>
        <v>5</v>
      </c>
      <c r="C58" s="21">
        <f>B58+IF('F1 Championship'!D23="",0,IFERROR(CHOOSE('F1 Championship'!D23,8,7,6,5,4,3,2,1,0,0,0,0,0,0,0,0,0,0,0,0),0))</f>
        <v>5</v>
      </c>
      <c r="D58" s="21">
        <f>C58+IF('F1 Championship'!E23="",0,IFERROR(CHOOSE('F1 Championship'!E23,25,18,15,12,10,8,6,4,2,1,0,0,0,0,0,0,0,0,0,0),0))</f>
        <v>5</v>
      </c>
      <c r="E58" s="21">
        <f>D58+IF('F1 Championship'!F23="",0,IFERROR(CHOOSE('F1 Championship'!F23,25,18,15,12,10,8,6,4,2,1,0,0,0,0,0,0,0,0,0,0),0))</f>
        <v>5</v>
      </c>
      <c r="F58" s="21">
        <f>E58+IF('F1 Championship'!G23="",0,IFERROR(CHOOSE('F1 Championship'!G23,25,18,15,12,10,8,6,4,2,1,0,0,0,0,0,0,0,0,0,0),0))</f>
        <v>5</v>
      </c>
      <c r="G58" s="21">
        <f>F58+IF('F1 Championship'!H23="",0,IFERROR(CHOOSE('F1 Championship'!H23,25,18,15,12,10,8,6,4,2,1,0,0,0,0,0,0,0,0,0,0),0))</f>
        <v>5</v>
      </c>
      <c r="H58" s="21">
        <f>G58+IF('F1 Championship'!I23="",0,IFERROR(CHOOSE('F1 Championship'!I23,25,18,15,12,10,8,6,4,2,1,0,0,0,0,0,0,0,0,0,0),0))</f>
        <v>5</v>
      </c>
      <c r="I58" s="21">
        <f>H58+IF('F1 Championship'!J23="",0,IFERROR(CHOOSE('F1 Championship'!J23,25,18,15,12,10,8,6,4,2,1,0,0,0,0,0,0,0,0,0,0),0))</f>
        <v>5</v>
      </c>
      <c r="J58" s="21">
        <f>I58+IF('F1 Championship'!K23="",0,IFERROR(CHOOSE('F1 Championship'!K23,25,18,15,12,10,8,6,4,2,1,0,0,0,0,0,0,0,0,0,0),0))</f>
        <v>5</v>
      </c>
    </row>
    <row r="59" spans="1:10" x14ac:dyDescent="0.35">
      <c r="A59" s="20" t="str">
        <f>'F1 Championship'!A24</f>
        <v>Yuki Tsunoda</v>
      </c>
      <c r="B59" s="21">
        <f>'F1 Championship'!C24</f>
        <v>1</v>
      </c>
      <c r="C59" s="21">
        <f>B59+IF('F1 Championship'!D24="",0,IFERROR(CHOOSE('F1 Championship'!D24,8,7,6,5,4,3,2,1,0,0,0,0,0,0,0,0,0,0,0,0),0))</f>
        <v>1</v>
      </c>
      <c r="D59" s="21">
        <f>C59+IF('F1 Championship'!E24="",0,IFERROR(CHOOSE('F1 Championship'!E24,25,18,15,12,10,8,6,4,2,1,0,0,0,0,0,0,0,0,0,0),0))</f>
        <v>1</v>
      </c>
      <c r="E59" s="21">
        <f>D59+IF('F1 Championship'!F24="",0,IFERROR(CHOOSE('F1 Championship'!F24,25,18,15,12,10,8,6,4,2,1,0,0,0,0,0,0,0,0,0,0),0))</f>
        <v>1</v>
      </c>
      <c r="F59" s="21">
        <f>E59+IF('F1 Championship'!G24="",0,IFERROR(CHOOSE('F1 Championship'!G24,25,18,15,12,10,8,6,4,2,1,0,0,0,0,0,0,0,0,0,0),0))</f>
        <v>1</v>
      </c>
      <c r="G59" s="21">
        <f>F59+IF('F1 Championship'!H24="",0,IFERROR(CHOOSE('F1 Championship'!H24,25,18,15,12,10,8,6,4,2,1,0,0,0,0,0,0,0,0,0,0),0))</f>
        <v>1</v>
      </c>
      <c r="H59" s="21">
        <f>G59+IF('F1 Championship'!I24="",0,IFERROR(CHOOSE('F1 Championship'!I24,25,18,15,12,10,8,6,4,2,1,0,0,0,0,0,0,0,0,0,0),0))</f>
        <v>1</v>
      </c>
      <c r="I59" s="21">
        <f>H59+IF('F1 Championship'!J24="",0,IFERROR(CHOOSE('F1 Championship'!J24,25,18,15,12,10,8,6,4,2,1,0,0,0,0,0,0,0,0,0,0),0))</f>
        <v>1</v>
      </c>
      <c r="J59" s="21">
        <f>I59+IF('F1 Championship'!K24="",0,IFERROR(CHOOSE('F1 Championship'!K24,25,18,15,12,10,8,6,4,2,1,0,0,0,0,0,0,0,0,0,0),0))</f>
        <v>1</v>
      </c>
    </row>
    <row r="60" spans="1:10" x14ac:dyDescent="0.35">
      <c r="A60" s="20" t="str">
        <f>'F1 Championship'!A25</f>
        <v>Lance Stroll</v>
      </c>
      <c r="B60" s="21">
        <f>'F1 Championship'!C25</f>
        <v>0</v>
      </c>
      <c r="C60" s="21">
        <f>B60+IF('F1 Championship'!D25="",0,IFERROR(CHOOSE('F1 Championship'!D25,8,7,6,5,4,3,2,1,0,0,0,0,0,0,0,0,0,0,0,0),0))</f>
        <v>0</v>
      </c>
      <c r="D60" s="21">
        <f>C60+IF('F1 Championship'!E25="",0,IFERROR(CHOOSE('F1 Championship'!E25,25,18,15,12,10,8,6,4,2,1,0,0,0,0,0,0,0,0,0,0),0))</f>
        <v>0</v>
      </c>
      <c r="E60" s="21">
        <f>D60+IF('F1 Championship'!F25="",0,IFERROR(CHOOSE('F1 Championship'!F25,25,18,15,12,10,8,6,4,2,1,0,0,0,0,0,0,0,0,0,0),0))</f>
        <v>0</v>
      </c>
      <c r="F60" s="21">
        <f>E60+IF('F1 Championship'!G25="",0,IFERROR(CHOOSE('F1 Championship'!G25,25,18,15,12,10,8,6,4,2,1,0,0,0,0,0,0,0,0,0,0),0))</f>
        <v>0</v>
      </c>
      <c r="G60" s="21">
        <f>F60+IF('F1 Championship'!H25="",0,IFERROR(CHOOSE('F1 Championship'!H25,25,18,15,12,10,8,6,4,2,1,0,0,0,0,0,0,0,0,0,0),0))</f>
        <v>0</v>
      </c>
      <c r="H60" s="21">
        <f>G60+IF('F1 Championship'!I25="",0,IFERROR(CHOOSE('F1 Championship'!I25,25,18,15,12,10,8,6,4,2,1,0,0,0,0,0,0,0,0,0,0),0))</f>
        <v>0</v>
      </c>
      <c r="I60" s="21">
        <f>H60+IF('F1 Championship'!J25="",0,IFERROR(CHOOSE('F1 Championship'!J25,25,18,15,12,10,8,6,4,2,1,0,0,0,0,0,0,0,0,0,0),0))</f>
        <v>0</v>
      </c>
      <c r="J60" s="21">
        <f>I60+IF('F1 Championship'!K25="",0,IFERROR(CHOOSE('F1 Championship'!K25,25,18,15,12,10,8,6,4,2,1,0,0,0,0,0,0,0,0,0,0),0))</f>
        <v>0</v>
      </c>
    </row>
    <row r="61" spans="1:10" x14ac:dyDescent="0.35">
      <c r="A61" s="20" t="str">
        <f>'F1 Championship'!A26</f>
        <v>Valtteri Bottas</v>
      </c>
      <c r="B61" s="21">
        <f>'F1 Championship'!C26</f>
        <v>0</v>
      </c>
      <c r="C61" s="21">
        <f>B61+IF('F1 Championship'!D26="",0,IFERROR(CHOOSE('F1 Championship'!D26,8,7,6,5,4,3,2,1,0,0,0,0,0,0,0,0,0,0,0,0),0))</f>
        <v>0</v>
      </c>
      <c r="D61" s="21">
        <f>C61+IF('F1 Championship'!E26="",0,IFERROR(CHOOSE('F1 Championship'!E26,25,18,15,12,10,8,6,4,2,1,0,0,0,0,0,0,0,0,0,0),0))</f>
        <v>0</v>
      </c>
      <c r="E61" s="21">
        <f>D61+IF('F1 Championship'!F26="",0,IFERROR(CHOOSE('F1 Championship'!F26,25,18,15,12,10,8,6,4,2,1,0,0,0,0,0,0,0,0,0,0),0))</f>
        <v>0</v>
      </c>
      <c r="F61" s="21">
        <f>E61+IF('F1 Championship'!G26="",0,IFERROR(CHOOSE('F1 Championship'!G26,25,18,15,12,10,8,6,4,2,1,0,0,0,0,0,0,0,0,0,0),0))</f>
        <v>0</v>
      </c>
      <c r="G61" s="21">
        <f>F61+IF('F1 Championship'!H26="",0,IFERROR(CHOOSE('F1 Championship'!H26,25,18,15,12,10,8,6,4,2,1,0,0,0,0,0,0,0,0,0,0),0))</f>
        <v>0</v>
      </c>
      <c r="H61" s="21">
        <f>G61+IF('F1 Championship'!I26="",0,IFERROR(CHOOSE('F1 Championship'!I26,25,18,15,12,10,8,6,4,2,1,0,0,0,0,0,0,0,0,0,0),0))</f>
        <v>0</v>
      </c>
      <c r="I61" s="21">
        <f>H61+IF('F1 Championship'!J26="",0,IFERROR(CHOOSE('F1 Championship'!J26,25,18,15,12,10,8,6,4,2,1,0,0,0,0,0,0,0,0,0,0),0))</f>
        <v>0</v>
      </c>
      <c r="J61" s="21">
        <f>I61+IF('F1 Championship'!K26="",0,IFERROR(CHOOSE('F1 Championship'!K26,25,18,15,12,10,8,6,4,2,1,0,0,0,0,0,0,0,0,0,0),0))</f>
        <v>0</v>
      </c>
    </row>
    <row r="62" spans="1:10" x14ac:dyDescent="0.35">
      <c r="A62" s="20" t="str">
        <f>'F1 Championship'!A27</f>
        <v>Sergio Perez</v>
      </c>
      <c r="B62" s="21">
        <f>'F1 Championship'!C27</f>
        <v>0</v>
      </c>
      <c r="C62" s="21">
        <f>B62+IF('F1 Championship'!D27="",0,IFERROR(CHOOSE('F1 Championship'!D27,8,7,6,5,4,3,2,1,0,0,0,0,0,0,0,0,0,0,0,0),0))</f>
        <v>0</v>
      </c>
      <c r="D62" s="21">
        <f>C62+IF('F1 Championship'!E27="",0,IFERROR(CHOOSE('F1 Championship'!E27,25,18,15,12,10,8,6,4,2,1,0,0,0,0,0,0,0,0,0,0),0))</f>
        <v>0</v>
      </c>
      <c r="E62" s="21">
        <f>D62+IF('F1 Championship'!F27="",0,IFERROR(CHOOSE('F1 Championship'!F27,25,18,15,12,10,8,6,4,2,1,0,0,0,0,0,0,0,0,0,0),0))</f>
        <v>0</v>
      </c>
      <c r="F62" s="21">
        <f>E62+IF('F1 Championship'!G27="",0,IFERROR(CHOOSE('F1 Championship'!G27,25,18,15,12,10,8,6,4,2,1,0,0,0,0,0,0,0,0,0,0),0))</f>
        <v>0</v>
      </c>
      <c r="G62" s="21">
        <f>F62+IF('F1 Championship'!H27="",0,IFERROR(CHOOSE('F1 Championship'!H27,25,18,15,12,10,8,6,4,2,1,0,0,0,0,0,0,0,0,0,0),0))</f>
        <v>0</v>
      </c>
      <c r="H62" s="21">
        <f>G62+IF('F1 Championship'!I27="",0,IFERROR(CHOOSE('F1 Championship'!I27,25,18,15,12,10,8,6,4,2,1,0,0,0,0,0,0,0,0,0,0),0))</f>
        <v>0</v>
      </c>
      <c r="I62" s="21">
        <f>H62+IF('F1 Championship'!J27="",0,IFERROR(CHOOSE('F1 Championship'!J27,25,18,15,12,10,8,6,4,2,1,0,0,0,0,0,0,0,0,0,0),0))</f>
        <v>0</v>
      </c>
      <c r="J62" s="21">
        <f>I62+IF('F1 Championship'!K27="",0,IFERROR(CHOOSE('F1 Championship'!K27,25,18,15,12,10,8,6,4,2,1,0,0,0,0,0,0,0,0,0,0),0))</f>
        <v>0</v>
      </c>
    </row>
    <row r="63" spans="1:10" x14ac:dyDescent="0.35">
      <c r="A63" s="29" t="s">
        <v>72</v>
      </c>
      <c r="B63" s="30">
        <f t="shared" ref="B63:J63" si="3">MAX(B40:B62)</f>
        <v>320</v>
      </c>
      <c r="C63" s="30">
        <f t="shared" si="3"/>
        <v>320</v>
      </c>
      <c r="D63" s="30">
        <f t="shared" si="3"/>
        <v>320</v>
      </c>
      <c r="E63" s="30">
        <f t="shared" si="3"/>
        <v>320</v>
      </c>
      <c r="F63" s="30">
        <f t="shared" si="3"/>
        <v>320</v>
      </c>
      <c r="G63" s="30">
        <f t="shared" si="3"/>
        <v>320</v>
      </c>
      <c r="H63" s="30">
        <f t="shared" si="3"/>
        <v>320</v>
      </c>
      <c r="I63" s="30">
        <f t="shared" si="3"/>
        <v>320</v>
      </c>
      <c r="J63" s="30">
        <f t="shared" si="3"/>
        <v>320</v>
      </c>
    </row>
    <row r="65" spans="1:11" x14ac:dyDescent="0.35">
      <c r="A65" s="18" t="s">
        <v>73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</row>
    <row r="66" spans="1:11" x14ac:dyDescent="0.35">
      <c r="A66" s="19" t="s">
        <v>2</v>
      </c>
      <c r="B66" s="19" t="s">
        <v>58</v>
      </c>
      <c r="C66" s="19" t="s">
        <v>5</v>
      </c>
      <c r="D66" s="19" t="s">
        <v>6</v>
      </c>
      <c r="E66" s="19" t="s">
        <v>78</v>
      </c>
      <c r="F66" s="19" t="s">
        <v>7</v>
      </c>
      <c r="G66" s="19" t="s">
        <v>8</v>
      </c>
      <c r="H66" s="19" t="s">
        <v>9</v>
      </c>
      <c r="I66" s="19" t="s">
        <v>10</v>
      </c>
      <c r="J66" s="19" t="s">
        <v>11</v>
      </c>
    </row>
    <row r="67" spans="1:11" x14ac:dyDescent="0.35">
      <c r="A67" s="31" t="str">
        <f t="shared" ref="A67:A89" si="4">A40</f>
        <v>Kimi Antonelli</v>
      </c>
      <c r="B67" s="32" t="str">
        <f t="shared" ref="B67:B89" si="5">IF(TRUE(),IF(B40=B$63,"Leader",IF(B40+B$8&gt;=B$63,"Alive","Out")),"-")</f>
        <v>Leader</v>
      </c>
      <c r="C67" s="32" t="str">
        <f t="shared" ref="C67:J76" si="6">IF(C$7="Yes",IF(C40=C$63,"Leader",IF(C40+C$8&gt;=C$63,"Alive","Out")),"-")</f>
        <v>-</v>
      </c>
      <c r="D67" s="32" t="str">
        <f t="shared" si="6"/>
        <v>-</v>
      </c>
      <c r="E67" s="32" t="str">
        <f t="shared" si="6"/>
        <v>-</v>
      </c>
      <c r="F67" s="32" t="str">
        <f t="shared" si="6"/>
        <v>-</v>
      </c>
      <c r="G67" s="32" t="str">
        <f t="shared" si="6"/>
        <v>-</v>
      </c>
      <c r="H67" s="32" t="str">
        <f t="shared" si="6"/>
        <v>-</v>
      </c>
      <c r="I67" s="32" t="str">
        <f t="shared" si="6"/>
        <v>-</v>
      </c>
      <c r="J67" s="32" t="str">
        <f t="shared" si="6"/>
        <v>-</v>
      </c>
    </row>
    <row r="68" spans="1:11" x14ac:dyDescent="0.35">
      <c r="A68" s="31" t="str">
        <f t="shared" si="4"/>
        <v>George Russell</v>
      </c>
      <c r="B68" s="32" t="str">
        <f t="shared" si="5"/>
        <v>Alive</v>
      </c>
      <c r="C68" s="32" t="str">
        <f t="shared" si="6"/>
        <v>-</v>
      </c>
      <c r="D68" s="32" t="str">
        <f t="shared" si="6"/>
        <v>-</v>
      </c>
      <c r="E68" s="32" t="str">
        <f t="shared" si="6"/>
        <v>-</v>
      </c>
      <c r="F68" s="32" t="str">
        <f t="shared" si="6"/>
        <v>-</v>
      </c>
      <c r="G68" s="32" t="str">
        <f t="shared" si="6"/>
        <v>-</v>
      </c>
      <c r="H68" s="32" t="str">
        <f t="shared" si="6"/>
        <v>-</v>
      </c>
      <c r="I68" s="32" t="str">
        <f t="shared" si="6"/>
        <v>-</v>
      </c>
      <c r="J68" s="32" t="str">
        <f t="shared" si="6"/>
        <v>-</v>
      </c>
    </row>
    <row r="69" spans="1:11" x14ac:dyDescent="0.35">
      <c r="A69" s="31" t="str">
        <f t="shared" si="4"/>
        <v>Lewis Hamilton</v>
      </c>
      <c r="B69" s="32" t="str">
        <f t="shared" si="5"/>
        <v>Alive</v>
      </c>
      <c r="C69" s="32" t="str">
        <f t="shared" si="6"/>
        <v>-</v>
      </c>
      <c r="D69" s="32" t="str">
        <f t="shared" si="6"/>
        <v>-</v>
      </c>
      <c r="E69" s="32" t="str">
        <f t="shared" si="6"/>
        <v>-</v>
      </c>
      <c r="F69" s="32" t="str">
        <f t="shared" si="6"/>
        <v>-</v>
      </c>
      <c r="G69" s="32" t="str">
        <f t="shared" si="6"/>
        <v>-</v>
      </c>
      <c r="H69" s="32" t="str">
        <f t="shared" si="6"/>
        <v>-</v>
      </c>
      <c r="I69" s="32" t="str">
        <f t="shared" si="6"/>
        <v>-</v>
      </c>
      <c r="J69" s="32" t="str">
        <f t="shared" si="6"/>
        <v>-</v>
      </c>
    </row>
    <row r="70" spans="1:11" x14ac:dyDescent="0.35">
      <c r="A70" s="31" t="str">
        <f t="shared" si="4"/>
        <v>Charles Leclerc</v>
      </c>
      <c r="B70" s="32" t="str">
        <f t="shared" si="5"/>
        <v>Alive</v>
      </c>
      <c r="C70" s="32" t="str">
        <f t="shared" si="6"/>
        <v>-</v>
      </c>
      <c r="D70" s="32" t="str">
        <f t="shared" si="6"/>
        <v>-</v>
      </c>
      <c r="E70" s="32" t="str">
        <f t="shared" si="6"/>
        <v>-</v>
      </c>
      <c r="F70" s="32" t="str">
        <f t="shared" si="6"/>
        <v>-</v>
      </c>
      <c r="G70" s="32" t="str">
        <f t="shared" si="6"/>
        <v>-</v>
      </c>
      <c r="H70" s="32" t="str">
        <f t="shared" si="6"/>
        <v>-</v>
      </c>
      <c r="I70" s="32" t="str">
        <f t="shared" si="6"/>
        <v>-</v>
      </c>
      <c r="J70" s="32" t="str">
        <f t="shared" si="6"/>
        <v>-</v>
      </c>
    </row>
    <row r="71" spans="1:11" x14ac:dyDescent="0.35">
      <c r="A71" s="31" t="str">
        <f t="shared" si="4"/>
        <v>Lando Norris</v>
      </c>
      <c r="B71" s="32" t="str">
        <f t="shared" si="5"/>
        <v>Alive</v>
      </c>
      <c r="C71" s="32" t="str">
        <f t="shared" si="6"/>
        <v>-</v>
      </c>
      <c r="D71" s="32" t="str">
        <f t="shared" si="6"/>
        <v>-</v>
      </c>
      <c r="E71" s="32" t="str">
        <f t="shared" si="6"/>
        <v>-</v>
      </c>
      <c r="F71" s="32" t="str">
        <f t="shared" si="6"/>
        <v>-</v>
      </c>
      <c r="G71" s="32" t="str">
        <f t="shared" si="6"/>
        <v>-</v>
      </c>
      <c r="H71" s="32" t="str">
        <f t="shared" si="6"/>
        <v>-</v>
      </c>
      <c r="I71" s="32" t="str">
        <f t="shared" si="6"/>
        <v>-</v>
      </c>
      <c r="J71" s="32" t="str">
        <f t="shared" si="6"/>
        <v>-</v>
      </c>
    </row>
    <row r="72" spans="1:11" x14ac:dyDescent="0.35">
      <c r="A72" s="31" t="str">
        <f t="shared" si="4"/>
        <v>Max Verstappen</v>
      </c>
      <c r="B72" s="32" t="str">
        <f t="shared" si="5"/>
        <v>Alive</v>
      </c>
      <c r="C72" s="32" t="str">
        <f t="shared" si="6"/>
        <v>-</v>
      </c>
      <c r="D72" s="32" t="str">
        <f t="shared" si="6"/>
        <v>-</v>
      </c>
      <c r="E72" s="32" t="str">
        <f t="shared" si="6"/>
        <v>-</v>
      </c>
      <c r="F72" s="32" t="str">
        <f t="shared" si="6"/>
        <v>-</v>
      </c>
      <c r="G72" s="32" t="str">
        <f t="shared" si="6"/>
        <v>-</v>
      </c>
      <c r="H72" s="32" t="str">
        <f t="shared" si="6"/>
        <v>-</v>
      </c>
      <c r="I72" s="32" t="str">
        <f t="shared" si="6"/>
        <v>-</v>
      </c>
      <c r="J72" s="32" t="str">
        <f t="shared" si="6"/>
        <v>-</v>
      </c>
    </row>
    <row r="73" spans="1:11" x14ac:dyDescent="0.35">
      <c r="A73" s="31" t="str">
        <f t="shared" si="4"/>
        <v>Oscar Piastri</v>
      </c>
      <c r="B73" s="32" t="str">
        <f t="shared" si="5"/>
        <v>Out</v>
      </c>
      <c r="C73" s="32" t="str">
        <f t="shared" si="6"/>
        <v>-</v>
      </c>
      <c r="D73" s="32" t="str">
        <f t="shared" si="6"/>
        <v>-</v>
      </c>
      <c r="E73" s="32" t="str">
        <f t="shared" si="6"/>
        <v>-</v>
      </c>
      <c r="F73" s="32" t="str">
        <f t="shared" si="6"/>
        <v>-</v>
      </c>
      <c r="G73" s="32" t="str">
        <f t="shared" si="6"/>
        <v>-</v>
      </c>
      <c r="H73" s="32" t="str">
        <f t="shared" si="6"/>
        <v>-</v>
      </c>
      <c r="I73" s="32" t="str">
        <f t="shared" si="6"/>
        <v>-</v>
      </c>
      <c r="J73" s="32" t="str">
        <f t="shared" si="6"/>
        <v>-</v>
      </c>
    </row>
    <row r="74" spans="1:11" x14ac:dyDescent="0.35">
      <c r="A74" s="31" t="str">
        <f t="shared" si="4"/>
        <v>Isack Hadjar</v>
      </c>
      <c r="B74" s="32" t="str">
        <f t="shared" si="5"/>
        <v>Out</v>
      </c>
      <c r="C74" s="32" t="str">
        <f t="shared" si="6"/>
        <v>-</v>
      </c>
      <c r="D74" s="32" t="str">
        <f t="shared" si="6"/>
        <v>-</v>
      </c>
      <c r="E74" s="32" t="str">
        <f t="shared" si="6"/>
        <v>-</v>
      </c>
      <c r="F74" s="32" t="str">
        <f t="shared" si="6"/>
        <v>-</v>
      </c>
      <c r="G74" s="32" t="str">
        <f t="shared" si="6"/>
        <v>-</v>
      </c>
      <c r="H74" s="32" t="str">
        <f t="shared" si="6"/>
        <v>-</v>
      </c>
      <c r="I74" s="32" t="str">
        <f t="shared" si="6"/>
        <v>-</v>
      </c>
      <c r="J74" s="32" t="str">
        <f t="shared" si="6"/>
        <v>-</v>
      </c>
    </row>
    <row r="75" spans="1:11" x14ac:dyDescent="0.35">
      <c r="A75" s="31" t="str">
        <f t="shared" si="4"/>
        <v>Liam Lawson</v>
      </c>
      <c r="B75" s="32" t="str">
        <f t="shared" si="5"/>
        <v>Out</v>
      </c>
      <c r="C75" s="32" t="str">
        <f t="shared" si="6"/>
        <v>-</v>
      </c>
      <c r="D75" s="32" t="str">
        <f t="shared" si="6"/>
        <v>-</v>
      </c>
      <c r="E75" s="32" t="str">
        <f t="shared" si="6"/>
        <v>-</v>
      </c>
      <c r="F75" s="32" t="str">
        <f t="shared" si="6"/>
        <v>-</v>
      </c>
      <c r="G75" s="32" t="str">
        <f t="shared" si="6"/>
        <v>-</v>
      </c>
      <c r="H75" s="32" t="str">
        <f t="shared" si="6"/>
        <v>-</v>
      </c>
      <c r="I75" s="32" t="str">
        <f t="shared" si="6"/>
        <v>-</v>
      </c>
      <c r="J75" s="32" t="str">
        <f t="shared" si="6"/>
        <v>-</v>
      </c>
    </row>
    <row r="76" spans="1:11" x14ac:dyDescent="0.35">
      <c r="A76" s="31" t="str">
        <f t="shared" si="4"/>
        <v>Pierre Gasly</v>
      </c>
      <c r="B76" s="32" t="str">
        <f t="shared" si="5"/>
        <v>Out</v>
      </c>
      <c r="C76" s="32" t="str">
        <f t="shared" si="6"/>
        <v>-</v>
      </c>
      <c r="D76" s="32" t="str">
        <f t="shared" si="6"/>
        <v>-</v>
      </c>
      <c r="E76" s="32" t="str">
        <f t="shared" si="6"/>
        <v>-</v>
      </c>
      <c r="F76" s="32" t="str">
        <f t="shared" si="6"/>
        <v>-</v>
      </c>
      <c r="G76" s="32" t="str">
        <f t="shared" si="6"/>
        <v>-</v>
      </c>
      <c r="H76" s="32" t="str">
        <f t="shared" si="6"/>
        <v>-</v>
      </c>
      <c r="I76" s="32" t="str">
        <f t="shared" si="6"/>
        <v>-</v>
      </c>
      <c r="J76" s="32" t="str">
        <f t="shared" si="6"/>
        <v>-</v>
      </c>
    </row>
    <row r="77" spans="1:11" x14ac:dyDescent="0.35">
      <c r="A77" s="31" t="str">
        <f t="shared" si="4"/>
        <v>Arvid Lindblad</v>
      </c>
      <c r="B77" s="32" t="str">
        <f t="shared" si="5"/>
        <v>Out</v>
      </c>
      <c r="C77" s="32" t="str">
        <f t="shared" ref="C77:J86" si="7">IF(C$7="Yes",IF(C50=C$63,"Leader",IF(C50+C$8&gt;=C$63,"Alive","Out")),"-")</f>
        <v>-</v>
      </c>
      <c r="D77" s="32" t="str">
        <f t="shared" si="7"/>
        <v>-</v>
      </c>
      <c r="E77" s="32" t="str">
        <f t="shared" si="7"/>
        <v>-</v>
      </c>
      <c r="F77" s="32" t="str">
        <f t="shared" si="7"/>
        <v>-</v>
      </c>
      <c r="G77" s="32" t="str">
        <f t="shared" si="7"/>
        <v>-</v>
      </c>
      <c r="H77" s="32" t="str">
        <f t="shared" si="7"/>
        <v>-</v>
      </c>
      <c r="I77" s="32" t="str">
        <f t="shared" si="7"/>
        <v>-</v>
      </c>
      <c r="J77" s="32" t="str">
        <f t="shared" si="7"/>
        <v>-</v>
      </c>
    </row>
    <row r="78" spans="1:11" x14ac:dyDescent="0.35">
      <c r="A78" s="31" t="str">
        <f t="shared" si="4"/>
        <v>Franco Colapinto</v>
      </c>
      <c r="B78" s="32" t="str">
        <f t="shared" si="5"/>
        <v>Out</v>
      </c>
      <c r="C78" s="32" t="str">
        <f t="shared" si="7"/>
        <v>-</v>
      </c>
      <c r="D78" s="32" t="str">
        <f t="shared" si="7"/>
        <v>-</v>
      </c>
      <c r="E78" s="32" t="str">
        <f t="shared" si="7"/>
        <v>-</v>
      </c>
      <c r="F78" s="32" t="str">
        <f t="shared" si="7"/>
        <v>-</v>
      </c>
      <c r="G78" s="32" t="str">
        <f t="shared" si="7"/>
        <v>-</v>
      </c>
      <c r="H78" s="32" t="str">
        <f t="shared" si="7"/>
        <v>-</v>
      </c>
      <c r="I78" s="32" t="str">
        <f t="shared" si="7"/>
        <v>-</v>
      </c>
      <c r="J78" s="32" t="str">
        <f t="shared" si="7"/>
        <v>-</v>
      </c>
    </row>
    <row r="79" spans="1:11" x14ac:dyDescent="0.35">
      <c r="A79" s="31" t="str">
        <f t="shared" si="4"/>
        <v>Oliver Bearman</v>
      </c>
      <c r="B79" s="32" t="str">
        <f t="shared" si="5"/>
        <v>Out</v>
      </c>
      <c r="C79" s="32" t="str">
        <f t="shared" si="7"/>
        <v>-</v>
      </c>
      <c r="D79" s="32" t="str">
        <f t="shared" si="7"/>
        <v>-</v>
      </c>
      <c r="E79" s="32" t="str">
        <f t="shared" si="7"/>
        <v>-</v>
      </c>
      <c r="F79" s="32" t="str">
        <f t="shared" si="7"/>
        <v>-</v>
      </c>
      <c r="G79" s="32" t="str">
        <f t="shared" si="7"/>
        <v>-</v>
      </c>
      <c r="H79" s="32" t="str">
        <f t="shared" si="7"/>
        <v>-</v>
      </c>
      <c r="I79" s="32" t="str">
        <f t="shared" si="7"/>
        <v>-</v>
      </c>
      <c r="J79" s="32" t="str">
        <f t="shared" si="7"/>
        <v>-</v>
      </c>
    </row>
    <row r="80" spans="1:11" x14ac:dyDescent="0.35">
      <c r="A80" s="31" t="str">
        <f t="shared" si="4"/>
        <v>Gabriel Bortoleto</v>
      </c>
      <c r="B80" s="32" t="str">
        <f t="shared" si="5"/>
        <v>Out</v>
      </c>
      <c r="C80" s="32" t="str">
        <f t="shared" si="7"/>
        <v>-</v>
      </c>
      <c r="D80" s="32" t="str">
        <f t="shared" si="7"/>
        <v>-</v>
      </c>
      <c r="E80" s="32" t="str">
        <f t="shared" si="7"/>
        <v>-</v>
      </c>
      <c r="F80" s="32" t="str">
        <f t="shared" si="7"/>
        <v>-</v>
      </c>
      <c r="G80" s="32" t="str">
        <f t="shared" si="7"/>
        <v>-</v>
      </c>
      <c r="H80" s="32" t="str">
        <f t="shared" si="7"/>
        <v>-</v>
      </c>
      <c r="I80" s="32" t="str">
        <f t="shared" si="7"/>
        <v>-</v>
      </c>
      <c r="J80" s="32" t="str">
        <f t="shared" si="7"/>
        <v>-</v>
      </c>
    </row>
    <row r="81" spans="1:11" x14ac:dyDescent="0.35">
      <c r="A81" s="31" t="str">
        <f t="shared" si="4"/>
        <v>Nico Hulkenberg</v>
      </c>
      <c r="B81" s="32" t="str">
        <f t="shared" si="5"/>
        <v>Out</v>
      </c>
      <c r="C81" s="32" t="str">
        <f t="shared" si="7"/>
        <v>-</v>
      </c>
      <c r="D81" s="32" t="str">
        <f t="shared" si="7"/>
        <v>-</v>
      </c>
      <c r="E81" s="32" t="str">
        <f t="shared" si="7"/>
        <v>-</v>
      </c>
      <c r="F81" s="32" t="str">
        <f t="shared" si="7"/>
        <v>-</v>
      </c>
      <c r="G81" s="32" t="str">
        <f t="shared" si="7"/>
        <v>-</v>
      </c>
      <c r="H81" s="32" t="str">
        <f t="shared" si="7"/>
        <v>-</v>
      </c>
      <c r="I81" s="32" t="str">
        <f t="shared" si="7"/>
        <v>-</v>
      </c>
      <c r="J81" s="32" t="str">
        <f t="shared" si="7"/>
        <v>-</v>
      </c>
    </row>
    <row r="82" spans="1:11" x14ac:dyDescent="0.35">
      <c r="A82" s="31" t="str">
        <f t="shared" si="4"/>
        <v>Esteban Ocon</v>
      </c>
      <c r="B82" s="32" t="str">
        <f t="shared" si="5"/>
        <v>Out</v>
      </c>
      <c r="C82" s="32" t="str">
        <f t="shared" si="7"/>
        <v>-</v>
      </c>
      <c r="D82" s="32" t="str">
        <f t="shared" si="7"/>
        <v>-</v>
      </c>
      <c r="E82" s="32" t="str">
        <f t="shared" si="7"/>
        <v>-</v>
      </c>
      <c r="F82" s="32" t="str">
        <f t="shared" si="7"/>
        <v>-</v>
      </c>
      <c r="G82" s="32" t="str">
        <f t="shared" si="7"/>
        <v>-</v>
      </c>
      <c r="H82" s="32" t="str">
        <f t="shared" si="7"/>
        <v>-</v>
      </c>
      <c r="I82" s="32" t="str">
        <f t="shared" si="7"/>
        <v>-</v>
      </c>
      <c r="J82" s="32" t="str">
        <f t="shared" si="7"/>
        <v>-</v>
      </c>
    </row>
    <row r="83" spans="1:11" x14ac:dyDescent="0.35">
      <c r="A83" s="31" t="str">
        <f t="shared" si="4"/>
        <v>Fernando Alonso</v>
      </c>
      <c r="B83" s="32" t="str">
        <f t="shared" si="5"/>
        <v>Out</v>
      </c>
      <c r="C83" s="32" t="str">
        <f t="shared" si="7"/>
        <v>-</v>
      </c>
      <c r="D83" s="32" t="str">
        <f t="shared" si="7"/>
        <v>-</v>
      </c>
      <c r="E83" s="32" t="str">
        <f t="shared" si="7"/>
        <v>-</v>
      </c>
      <c r="F83" s="32" t="str">
        <f t="shared" si="7"/>
        <v>-</v>
      </c>
      <c r="G83" s="32" t="str">
        <f t="shared" si="7"/>
        <v>-</v>
      </c>
      <c r="H83" s="32" t="str">
        <f t="shared" si="7"/>
        <v>-</v>
      </c>
      <c r="I83" s="32" t="str">
        <f t="shared" si="7"/>
        <v>-</v>
      </c>
      <c r="J83" s="32" t="str">
        <f t="shared" si="7"/>
        <v>-</v>
      </c>
    </row>
    <row r="84" spans="1:11" x14ac:dyDescent="0.35">
      <c r="A84" s="31" t="str">
        <f t="shared" si="4"/>
        <v>Carlos Sainz</v>
      </c>
      <c r="B84" s="32" t="str">
        <f t="shared" si="5"/>
        <v>Out</v>
      </c>
      <c r="C84" s="32" t="str">
        <f t="shared" si="7"/>
        <v>-</v>
      </c>
      <c r="D84" s="32" t="str">
        <f t="shared" si="7"/>
        <v>-</v>
      </c>
      <c r="E84" s="32" t="str">
        <f t="shared" si="7"/>
        <v>-</v>
      </c>
      <c r="F84" s="32" t="str">
        <f t="shared" si="7"/>
        <v>-</v>
      </c>
      <c r="G84" s="32" t="str">
        <f t="shared" si="7"/>
        <v>-</v>
      </c>
      <c r="H84" s="32" t="str">
        <f t="shared" si="7"/>
        <v>-</v>
      </c>
      <c r="I84" s="32" t="str">
        <f t="shared" si="7"/>
        <v>-</v>
      </c>
      <c r="J84" s="32" t="str">
        <f t="shared" si="7"/>
        <v>-</v>
      </c>
    </row>
    <row r="85" spans="1:11" x14ac:dyDescent="0.35">
      <c r="A85" s="31" t="str">
        <f t="shared" si="4"/>
        <v>Alexander Albon</v>
      </c>
      <c r="B85" s="32" t="str">
        <f t="shared" si="5"/>
        <v>Out</v>
      </c>
      <c r="C85" s="32" t="str">
        <f t="shared" si="7"/>
        <v>-</v>
      </c>
      <c r="D85" s="32" t="str">
        <f t="shared" si="7"/>
        <v>-</v>
      </c>
      <c r="E85" s="32" t="str">
        <f t="shared" si="7"/>
        <v>-</v>
      </c>
      <c r="F85" s="32" t="str">
        <f t="shared" si="7"/>
        <v>-</v>
      </c>
      <c r="G85" s="32" t="str">
        <f t="shared" si="7"/>
        <v>-</v>
      </c>
      <c r="H85" s="32" t="str">
        <f t="shared" si="7"/>
        <v>-</v>
      </c>
      <c r="I85" s="32" t="str">
        <f t="shared" si="7"/>
        <v>-</v>
      </c>
      <c r="J85" s="32" t="str">
        <f t="shared" si="7"/>
        <v>-</v>
      </c>
    </row>
    <row r="86" spans="1:11" x14ac:dyDescent="0.35">
      <c r="A86" s="31" t="str">
        <f t="shared" si="4"/>
        <v>Yuki Tsunoda</v>
      </c>
      <c r="B86" s="32" t="str">
        <f t="shared" si="5"/>
        <v>Out</v>
      </c>
      <c r="C86" s="32" t="str">
        <f t="shared" si="7"/>
        <v>-</v>
      </c>
      <c r="D86" s="32" t="str">
        <f t="shared" si="7"/>
        <v>-</v>
      </c>
      <c r="E86" s="32" t="str">
        <f t="shared" si="7"/>
        <v>-</v>
      </c>
      <c r="F86" s="32" t="str">
        <f t="shared" si="7"/>
        <v>-</v>
      </c>
      <c r="G86" s="32" t="str">
        <f t="shared" si="7"/>
        <v>-</v>
      </c>
      <c r="H86" s="32" t="str">
        <f t="shared" si="7"/>
        <v>-</v>
      </c>
      <c r="I86" s="32" t="str">
        <f t="shared" si="7"/>
        <v>-</v>
      </c>
      <c r="J86" s="32" t="str">
        <f t="shared" si="7"/>
        <v>-</v>
      </c>
    </row>
    <row r="87" spans="1:11" x14ac:dyDescent="0.35">
      <c r="A87" s="31" t="str">
        <f t="shared" si="4"/>
        <v>Lance Stroll</v>
      </c>
      <c r="B87" s="32" t="str">
        <f t="shared" si="5"/>
        <v>Out</v>
      </c>
      <c r="C87" s="32" t="str">
        <f t="shared" ref="C87:J96" si="8">IF(C$7="Yes",IF(C60=C$63,"Leader",IF(C60+C$8&gt;=C$63,"Alive","Out")),"-")</f>
        <v>-</v>
      </c>
      <c r="D87" s="32" t="str">
        <f t="shared" si="8"/>
        <v>-</v>
      </c>
      <c r="E87" s="32" t="str">
        <f t="shared" si="8"/>
        <v>-</v>
      </c>
      <c r="F87" s="32" t="str">
        <f t="shared" si="8"/>
        <v>-</v>
      </c>
      <c r="G87" s="32" t="str">
        <f t="shared" si="8"/>
        <v>-</v>
      </c>
      <c r="H87" s="32" t="str">
        <f t="shared" si="8"/>
        <v>-</v>
      </c>
      <c r="I87" s="32" t="str">
        <f t="shared" si="8"/>
        <v>-</v>
      </c>
      <c r="J87" s="32" t="str">
        <f t="shared" si="8"/>
        <v>-</v>
      </c>
    </row>
    <row r="88" spans="1:11" x14ac:dyDescent="0.35">
      <c r="A88" s="31" t="str">
        <f t="shared" si="4"/>
        <v>Valtteri Bottas</v>
      </c>
      <c r="B88" s="32" t="str">
        <f t="shared" si="5"/>
        <v>Out</v>
      </c>
      <c r="C88" s="32" t="str">
        <f t="shared" si="8"/>
        <v>-</v>
      </c>
      <c r="D88" s="32" t="str">
        <f t="shared" si="8"/>
        <v>-</v>
      </c>
      <c r="E88" s="32" t="str">
        <f t="shared" si="8"/>
        <v>-</v>
      </c>
      <c r="F88" s="32" t="str">
        <f t="shared" si="8"/>
        <v>-</v>
      </c>
      <c r="G88" s="32" t="str">
        <f t="shared" si="8"/>
        <v>-</v>
      </c>
      <c r="H88" s="32" t="str">
        <f t="shared" si="8"/>
        <v>-</v>
      </c>
      <c r="I88" s="32" t="str">
        <f t="shared" si="8"/>
        <v>-</v>
      </c>
      <c r="J88" s="32" t="str">
        <f t="shared" si="8"/>
        <v>-</v>
      </c>
    </row>
    <row r="89" spans="1:11" x14ac:dyDescent="0.35">
      <c r="A89" s="31" t="str">
        <f t="shared" si="4"/>
        <v>Sergio Perez</v>
      </c>
      <c r="B89" s="32" t="str">
        <f t="shared" si="5"/>
        <v>Out</v>
      </c>
      <c r="C89" s="32" t="str">
        <f t="shared" si="8"/>
        <v>-</v>
      </c>
      <c r="D89" s="32" t="str">
        <f t="shared" si="8"/>
        <v>-</v>
      </c>
      <c r="E89" s="32" t="str">
        <f t="shared" si="8"/>
        <v>-</v>
      </c>
      <c r="F89" s="32" t="str">
        <f t="shared" si="8"/>
        <v>-</v>
      </c>
      <c r="G89" s="32" t="str">
        <f t="shared" si="8"/>
        <v>-</v>
      </c>
      <c r="H89" s="32" t="str">
        <f t="shared" si="8"/>
        <v>-</v>
      </c>
      <c r="I89" s="32" t="str">
        <f t="shared" si="8"/>
        <v>-</v>
      </c>
      <c r="J89" s="32" t="str">
        <f t="shared" si="8"/>
        <v>-</v>
      </c>
    </row>
    <row r="90" spans="1:11" x14ac:dyDescent="0.35">
      <c r="A90" s="17" t="s">
        <v>79</v>
      </c>
    </row>
    <row r="92" spans="1:11" x14ac:dyDescent="0.35">
      <c r="A92" s="18" t="s">
        <v>74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</row>
    <row r="93" spans="1:11" x14ac:dyDescent="0.35">
      <c r="A93" s="17" t="s">
        <v>75</v>
      </c>
    </row>
    <row r="94" spans="1:11" x14ac:dyDescent="0.35">
      <c r="A94" s="19" t="s">
        <v>76</v>
      </c>
      <c r="B94" s="19" t="s">
        <v>58</v>
      </c>
      <c r="C94" s="19" t="s">
        <v>5</v>
      </c>
      <c r="D94" s="19" t="s">
        <v>6</v>
      </c>
      <c r="E94" s="19" t="s">
        <v>78</v>
      </c>
      <c r="F94" s="19" t="s">
        <v>7</v>
      </c>
      <c r="G94" s="19" t="s">
        <v>8</v>
      </c>
      <c r="H94" s="19" t="s">
        <v>9</v>
      </c>
      <c r="I94" s="19" t="s">
        <v>10</v>
      </c>
      <c r="J94" s="19" t="s">
        <v>11</v>
      </c>
    </row>
    <row r="95" spans="1:11" x14ac:dyDescent="0.35">
      <c r="A95" s="27" t="s">
        <v>77</v>
      </c>
      <c r="B95" s="28">
        <f t="shared" ref="B95:J95" si="9">B$63</f>
        <v>320</v>
      </c>
      <c r="C95" s="28">
        <f t="shared" si="9"/>
        <v>320</v>
      </c>
      <c r="D95" s="28">
        <f t="shared" si="9"/>
        <v>320</v>
      </c>
      <c r="E95" s="28">
        <f t="shared" si="9"/>
        <v>320</v>
      </c>
      <c r="F95" s="28">
        <f t="shared" si="9"/>
        <v>320</v>
      </c>
      <c r="G95" s="28">
        <f t="shared" si="9"/>
        <v>320</v>
      </c>
      <c r="H95" s="28">
        <f t="shared" si="9"/>
        <v>320</v>
      </c>
      <c r="I95" s="28">
        <f t="shared" si="9"/>
        <v>320</v>
      </c>
      <c r="J95" s="28">
        <f t="shared" si="9"/>
        <v>320</v>
      </c>
    </row>
    <row r="96" spans="1:11" x14ac:dyDescent="0.35">
      <c r="A96" s="33" t="s">
        <v>18</v>
      </c>
      <c r="B96" s="21">
        <f>IFERROR(INDEX(B$40:B$62,MATCH($A96,$A$40:$A$62,0)),NA())</f>
        <v>236</v>
      </c>
      <c r="C96" s="21">
        <f t="shared" ref="C96:J100" si="10">IFERROR(B96+IF(C$7="Yes",(INDEX(C$40:C$62,MATCH($A96,$A$40:$A$62,0))-INDEX(B$40:B$62,MATCH($A96,$A$40:$A$62,0))),C$6),NA())</f>
        <v>244</v>
      </c>
      <c r="D96" s="21">
        <f t="shared" si="10"/>
        <v>269</v>
      </c>
      <c r="E96" s="21">
        <f t="shared" si="10"/>
        <v>294</v>
      </c>
      <c r="F96" s="21">
        <f t="shared" si="10"/>
        <v>319</v>
      </c>
      <c r="G96" s="21">
        <f t="shared" si="10"/>
        <v>344</v>
      </c>
      <c r="H96" s="21">
        <f t="shared" si="10"/>
        <v>369</v>
      </c>
      <c r="I96" s="21">
        <f t="shared" si="10"/>
        <v>394</v>
      </c>
      <c r="J96" s="21">
        <f t="shared" si="10"/>
        <v>419</v>
      </c>
    </row>
    <row r="97" spans="1:10" x14ac:dyDescent="0.35">
      <c r="A97" s="33" t="s">
        <v>19</v>
      </c>
      <c r="B97" s="21">
        <f>IFERROR(INDEX(B$40:B$62,MATCH($A97,$A$40:$A$62,0)),NA())</f>
        <v>214</v>
      </c>
      <c r="C97" s="21">
        <f t="shared" si="10"/>
        <v>222</v>
      </c>
      <c r="D97" s="21">
        <f t="shared" si="10"/>
        <v>247</v>
      </c>
      <c r="E97" s="21">
        <f t="shared" si="10"/>
        <v>272</v>
      </c>
      <c r="F97" s="21">
        <f t="shared" si="10"/>
        <v>297</v>
      </c>
      <c r="G97" s="21">
        <f t="shared" si="10"/>
        <v>322</v>
      </c>
      <c r="H97" s="21">
        <f t="shared" si="10"/>
        <v>347</v>
      </c>
      <c r="I97" s="21">
        <f t="shared" si="10"/>
        <v>372</v>
      </c>
      <c r="J97" s="21">
        <f t="shared" si="10"/>
        <v>397</v>
      </c>
    </row>
    <row r="98" spans="1:10" x14ac:dyDescent="0.35">
      <c r="A98" s="33" t="s">
        <v>21</v>
      </c>
      <c r="B98" s="21">
        <f>IFERROR(INDEX(B$40:B$62,MATCH($A98,$A$40:$A$62,0)),NA())</f>
        <v>191</v>
      </c>
      <c r="C98" s="21">
        <f t="shared" si="10"/>
        <v>199</v>
      </c>
      <c r="D98" s="21">
        <f t="shared" si="10"/>
        <v>224</v>
      </c>
      <c r="E98" s="21">
        <f t="shared" si="10"/>
        <v>249</v>
      </c>
      <c r="F98" s="21">
        <f t="shared" si="10"/>
        <v>274</v>
      </c>
      <c r="G98" s="21">
        <f t="shared" si="10"/>
        <v>299</v>
      </c>
      <c r="H98" s="21">
        <f t="shared" si="10"/>
        <v>324</v>
      </c>
      <c r="I98" s="21">
        <f t="shared" si="10"/>
        <v>349</v>
      </c>
      <c r="J98" s="21">
        <f t="shared" si="10"/>
        <v>374</v>
      </c>
    </row>
    <row r="99" spans="1:10" x14ac:dyDescent="0.35">
      <c r="A99" s="33" t="s">
        <v>22</v>
      </c>
      <c r="B99" s="21">
        <f>IFERROR(INDEX(B$40:B$62,MATCH($A99,$A$40:$A$62,0)),NA())</f>
        <v>188</v>
      </c>
      <c r="C99" s="21">
        <f t="shared" si="10"/>
        <v>196</v>
      </c>
      <c r="D99" s="21">
        <f t="shared" si="10"/>
        <v>221</v>
      </c>
      <c r="E99" s="21">
        <f t="shared" si="10"/>
        <v>246</v>
      </c>
      <c r="F99" s="21">
        <f t="shared" si="10"/>
        <v>271</v>
      </c>
      <c r="G99" s="21">
        <f t="shared" si="10"/>
        <v>296</v>
      </c>
      <c r="H99" s="21">
        <f t="shared" si="10"/>
        <v>321</v>
      </c>
      <c r="I99" s="21">
        <f t="shared" si="10"/>
        <v>346</v>
      </c>
      <c r="J99" s="21">
        <f t="shared" si="10"/>
        <v>371</v>
      </c>
    </row>
    <row r="100" spans="1:10" x14ac:dyDescent="0.35">
      <c r="A100" s="33" t="s">
        <v>24</v>
      </c>
      <c r="B100" s="21">
        <f>IFERROR(INDEX(B$40:B$62,MATCH($A100,$A$40:$A$62,0)),NA())</f>
        <v>188</v>
      </c>
      <c r="C100" s="21">
        <f t="shared" si="10"/>
        <v>196</v>
      </c>
      <c r="D100" s="21">
        <f t="shared" si="10"/>
        <v>221</v>
      </c>
      <c r="E100" s="21">
        <f t="shared" si="10"/>
        <v>246</v>
      </c>
      <c r="F100" s="21">
        <f t="shared" si="10"/>
        <v>271</v>
      </c>
      <c r="G100" s="21">
        <f t="shared" si="10"/>
        <v>296</v>
      </c>
      <c r="H100" s="21">
        <f t="shared" si="10"/>
        <v>321</v>
      </c>
      <c r="I100" s="21">
        <f t="shared" si="10"/>
        <v>346</v>
      </c>
      <c r="J100" s="21">
        <f t="shared" si="10"/>
        <v>371</v>
      </c>
    </row>
  </sheetData>
  <conditionalFormatting sqref="B67:J89">
    <cfRule type="cellIs" dxfId="6" priority="6" operator="equal">
      <formula>"Leader"</formula>
    </cfRule>
    <cfRule type="cellIs" dxfId="5" priority="7" operator="equal">
      <formula>"Alive"</formula>
    </cfRule>
    <cfRule type="cellIs" dxfId="4" priority="8" operator="equal">
      <formula>"Out"</formula>
    </cfRule>
  </conditionalFormatting>
  <conditionalFormatting sqref="F13:F35">
    <cfRule type="cellIs" dxfId="3" priority="2" operator="equal">
      <formula>"Leader"</formula>
    </cfRule>
    <cfRule type="cellIs" dxfId="2" priority="3" operator="equal">
      <formula>"Can win"</formula>
    </cfRule>
    <cfRule type="cellIs" dxfId="1" priority="4" operator="equal">
      <formula>"Tie only"</formula>
    </cfRule>
    <cfRule type="cellIs" dxfId="0" priority="5" operator="equal">
      <formula>"Eliminated"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showGridLines="0" tabSelected="1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F16" sqref="F16"/>
    </sheetView>
  </sheetViews>
  <sheetFormatPr defaultColWidth="8.6328125" defaultRowHeight="14.5" x14ac:dyDescent="0.35"/>
  <cols>
    <col min="1" max="1" width="22" customWidth="1"/>
    <col min="2" max="2" width="20" customWidth="1"/>
    <col min="3" max="3" width="13" customWidth="1"/>
    <col min="4" max="4" width="10" customWidth="1"/>
    <col min="5" max="5" width="13" customWidth="1"/>
    <col min="6" max="6" width="10" customWidth="1"/>
    <col min="7" max="8" width="12" customWidth="1"/>
    <col min="9" max="9" width="13" customWidth="1"/>
    <col min="10" max="10" width="10" customWidth="1"/>
    <col min="11" max="11" width="13" customWidth="1"/>
    <col min="12" max="12" width="15" customWidth="1"/>
    <col min="13" max="13" width="13" customWidth="1"/>
    <col min="14" max="14" width="9" customWidth="1"/>
    <col min="15" max="15" width="15" customWidth="1"/>
  </cols>
  <sheetData>
    <row r="1" spans="1:15" ht="27.75" customHeight="1" x14ac:dyDescent="0.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20.25" customHeight="1" x14ac:dyDescent="0.3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4" spans="1:15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78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4" t="s">
        <v>12</v>
      </c>
      <c r="M4" s="4" t="s">
        <v>13</v>
      </c>
      <c r="N4" s="4" t="s">
        <v>14</v>
      </c>
      <c r="O4" s="4" t="s">
        <v>15</v>
      </c>
    </row>
    <row r="5" spans="1:15" x14ac:dyDescent="0.35">
      <c r="A5" s="5" t="s">
        <v>16</v>
      </c>
      <c r="B5" s="5" t="s">
        <v>17</v>
      </c>
      <c r="C5" s="6">
        <v>320</v>
      </c>
      <c r="D5" s="7"/>
      <c r="E5" s="7"/>
      <c r="F5" s="7"/>
      <c r="G5" s="7"/>
      <c r="H5" s="7"/>
      <c r="I5" s="7"/>
      <c r="J5" s="7"/>
      <c r="K5" s="7"/>
      <c r="L5" s="8">
        <f t="shared" ref="L5:L27" si="0">IF(E5="",0,IFERROR(CHOOSE(E5,25,18,15,12,10,8,6,4,2,1,0,0,0,0,0,0,0,0,0,0),0))+IF(F5="",0,IFERROR(CHOOSE(F5,25,18,15,12,10,8,6,4,2,1,0,0,0,0,0,0,0,0,0,0),0))+IF(G5="",0,IFERROR(CHOOSE(G5,25,18,15,12,10,8,6,4,2,1,0,0,0,0,0,0,0,0,0,0),0))+IF(H5="",0,IFERROR(CHOOSE(H5,25,18,15,12,10,8,6,4,2,1,0,0,0,0,0,0,0,0,0,0),0))+IF(I5="",0,IFERROR(CHOOSE(I5,25,18,15,12,10,8,6,4,2,1,0,0,0,0,0,0,0,0,0,0),0))+IF(J5="",0,IFERROR(CHOOSE(J5,25,18,15,12,10,8,6,4,2,1,0,0,0,0,0,0,0,0,0,0),0))+IF(K5="",0,IFERROR(CHOOSE(K5,25,18,15,12,10,8,6,4,2,1,0,0,0,0,0,0,0,0,0,0),0))+IF(D5="",0,IFERROR(CHOOSE(D5,8,7,6,5,4,3,2,1,0,0,0,0,0,0,0,0,0,0,0,0),0))</f>
        <v>0</v>
      </c>
      <c r="M5" s="8">
        <f t="shared" ref="M5:M27" si="1">C5+L5</f>
        <v>320</v>
      </c>
      <c r="N5" s="8">
        <f t="shared" ref="N5:N27" si="2">_xlfn.RANK.EQ(M5,$M$5:$M$27,0)</f>
        <v>1</v>
      </c>
      <c r="O5" s="8">
        <f t="shared" ref="O5:O27" si="3">MAX($M$5:$M$27)-M5</f>
        <v>0</v>
      </c>
    </row>
    <row r="6" spans="1:15" x14ac:dyDescent="0.35">
      <c r="A6" s="9" t="s">
        <v>18</v>
      </c>
      <c r="B6" s="9" t="s">
        <v>17</v>
      </c>
      <c r="C6" s="10">
        <v>236</v>
      </c>
      <c r="D6" s="7"/>
      <c r="E6" s="7"/>
      <c r="F6" s="7"/>
      <c r="G6" s="7"/>
      <c r="H6" s="7"/>
      <c r="I6" s="7"/>
      <c r="J6" s="7"/>
      <c r="K6" s="7"/>
      <c r="L6" s="8">
        <f t="shared" si="0"/>
        <v>0</v>
      </c>
      <c r="M6" s="8">
        <f t="shared" si="1"/>
        <v>236</v>
      </c>
      <c r="N6" s="8">
        <f t="shared" si="2"/>
        <v>2</v>
      </c>
      <c r="O6" s="8">
        <f t="shared" si="3"/>
        <v>84</v>
      </c>
    </row>
    <row r="7" spans="1:15" x14ac:dyDescent="0.35">
      <c r="A7" s="5" t="s">
        <v>19</v>
      </c>
      <c r="B7" s="5" t="s">
        <v>20</v>
      </c>
      <c r="C7" s="6">
        <v>214</v>
      </c>
      <c r="D7" s="7"/>
      <c r="E7" s="7"/>
      <c r="F7" s="7"/>
      <c r="G7" s="7"/>
      <c r="H7" s="7"/>
      <c r="I7" s="7"/>
      <c r="J7" s="7"/>
      <c r="K7" s="7"/>
      <c r="L7" s="8">
        <f t="shared" si="0"/>
        <v>0</v>
      </c>
      <c r="M7" s="8">
        <f t="shared" si="1"/>
        <v>214</v>
      </c>
      <c r="N7" s="8">
        <f t="shared" si="2"/>
        <v>3</v>
      </c>
      <c r="O7" s="8">
        <f t="shared" si="3"/>
        <v>106</v>
      </c>
    </row>
    <row r="8" spans="1:15" x14ac:dyDescent="0.35">
      <c r="A8" s="9" t="s">
        <v>21</v>
      </c>
      <c r="B8" s="9" t="s">
        <v>20</v>
      </c>
      <c r="C8" s="10">
        <v>191</v>
      </c>
      <c r="D8" s="7"/>
      <c r="E8" s="7"/>
      <c r="F8" s="7"/>
      <c r="G8" s="7"/>
      <c r="H8" s="7"/>
      <c r="I8" s="7"/>
      <c r="J8" s="7"/>
      <c r="K8" s="7"/>
      <c r="L8" s="8">
        <f t="shared" si="0"/>
        <v>0</v>
      </c>
      <c r="M8" s="8">
        <f t="shared" si="1"/>
        <v>191</v>
      </c>
      <c r="N8" s="8">
        <f t="shared" si="2"/>
        <v>4</v>
      </c>
      <c r="O8" s="8">
        <f t="shared" si="3"/>
        <v>129</v>
      </c>
    </row>
    <row r="9" spans="1:15" x14ac:dyDescent="0.35">
      <c r="A9" s="5" t="s">
        <v>22</v>
      </c>
      <c r="B9" s="5" t="s">
        <v>23</v>
      </c>
      <c r="C9" s="6">
        <v>188</v>
      </c>
      <c r="D9" s="7"/>
      <c r="E9" s="7"/>
      <c r="F9" s="7"/>
      <c r="G9" s="7"/>
      <c r="H9" s="7"/>
      <c r="I9" s="7"/>
      <c r="J9" s="7"/>
      <c r="K9" s="7"/>
      <c r="L9" s="8">
        <f t="shared" si="0"/>
        <v>0</v>
      </c>
      <c r="M9" s="8">
        <f t="shared" si="1"/>
        <v>188</v>
      </c>
      <c r="N9" s="8">
        <f t="shared" si="2"/>
        <v>5</v>
      </c>
      <c r="O9" s="8">
        <f t="shared" si="3"/>
        <v>132</v>
      </c>
    </row>
    <row r="10" spans="1:15" x14ac:dyDescent="0.35">
      <c r="A10" s="9" t="s">
        <v>24</v>
      </c>
      <c r="B10" s="9" t="s">
        <v>25</v>
      </c>
      <c r="C10" s="10">
        <v>188</v>
      </c>
      <c r="D10" s="7"/>
      <c r="E10" s="7"/>
      <c r="F10" s="7"/>
      <c r="G10" s="7"/>
      <c r="H10" s="7"/>
      <c r="I10" s="7"/>
      <c r="J10" s="7"/>
      <c r="K10" s="7"/>
      <c r="L10" s="8">
        <f t="shared" si="0"/>
        <v>0</v>
      </c>
      <c r="M10" s="8">
        <f t="shared" si="1"/>
        <v>188</v>
      </c>
      <c r="N10" s="8">
        <f t="shared" si="2"/>
        <v>5</v>
      </c>
      <c r="O10" s="8">
        <f t="shared" si="3"/>
        <v>132</v>
      </c>
    </row>
    <row r="11" spans="1:15" x14ac:dyDescent="0.35">
      <c r="A11" s="34" t="s">
        <v>26</v>
      </c>
      <c r="B11" s="34" t="s">
        <v>23</v>
      </c>
      <c r="C11" s="35">
        <v>128</v>
      </c>
      <c r="D11" s="7"/>
      <c r="E11" s="7"/>
      <c r="F11" s="7"/>
      <c r="G11" s="7"/>
      <c r="H11" s="7"/>
      <c r="I11" s="7"/>
      <c r="J11" s="7"/>
      <c r="K11" s="7"/>
      <c r="L11" s="8">
        <f t="shared" si="0"/>
        <v>0</v>
      </c>
      <c r="M11" s="8">
        <f t="shared" si="1"/>
        <v>128</v>
      </c>
      <c r="N11" s="8">
        <f t="shared" si="2"/>
        <v>7</v>
      </c>
      <c r="O11" s="8">
        <f t="shared" si="3"/>
        <v>192</v>
      </c>
    </row>
    <row r="12" spans="1:15" x14ac:dyDescent="0.35">
      <c r="A12" s="36" t="s">
        <v>27</v>
      </c>
      <c r="B12" s="36" t="s">
        <v>25</v>
      </c>
      <c r="C12" s="37">
        <v>96</v>
      </c>
      <c r="D12" s="7"/>
      <c r="E12" s="7"/>
      <c r="F12" s="7"/>
      <c r="G12" s="7"/>
      <c r="H12" s="7"/>
      <c r="I12" s="7"/>
      <c r="J12" s="7"/>
      <c r="K12" s="7"/>
      <c r="L12" s="8">
        <f t="shared" si="0"/>
        <v>0</v>
      </c>
      <c r="M12" s="8">
        <f t="shared" si="1"/>
        <v>96</v>
      </c>
      <c r="N12" s="8">
        <f t="shared" si="2"/>
        <v>8</v>
      </c>
      <c r="O12" s="8">
        <f t="shared" si="3"/>
        <v>224</v>
      </c>
    </row>
    <row r="13" spans="1:15" x14ac:dyDescent="0.35">
      <c r="A13" s="34" t="s">
        <v>28</v>
      </c>
      <c r="B13" s="34" t="s">
        <v>29</v>
      </c>
      <c r="C13" s="35">
        <v>65</v>
      </c>
      <c r="D13" s="7"/>
      <c r="E13" s="7"/>
      <c r="F13" s="7"/>
      <c r="G13" s="7"/>
      <c r="H13" s="7"/>
      <c r="I13" s="7"/>
      <c r="J13" s="7"/>
      <c r="K13" s="7"/>
      <c r="L13" s="8">
        <f t="shared" si="0"/>
        <v>0</v>
      </c>
      <c r="M13" s="8">
        <f t="shared" si="1"/>
        <v>65</v>
      </c>
      <c r="N13" s="8">
        <f t="shared" si="2"/>
        <v>9</v>
      </c>
      <c r="O13" s="8">
        <f t="shared" si="3"/>
        <v>255</v>
      </c>
    </row>
    <row r="14" spans="1:15" x14ac:dyDescent="0.35">
      <c r="A14" s="36" t="s">
        <v>30</v>
      </c>
      <c r="B14" s="36" t="s">
        <v>31</v>
      </c>
      <c r="C14" s="37">
        <v>41</v>
      </c>
      <c r="D14" s="7"/>
      <c r="E14" s="7"/>
      <c r="F14" s="7"/>
      <c r="G14" s="7"/>
      <c r="H14" s="7"/>
      <c r="I14" s="7"/>
      <c r="J14" s="7"/>
      <c r="K14" s="7"/>
      <c r="L14" s="8">
        <f t="shared" si="0"/>
        <v>0</v>
      </c>
      <c r="M14" s="8">
        <f t="shared" si="1"/>
        <v>41</v>
      </c>
      <c r="N14" s="8">
        <f t="shared" si="2"/>
        <v>10</v>
      </c>
      <c r="O14" s="8">
        <f t="shared" si="3"/>
        <v>279</v>
      </c>
    </row>
    <row r="15" spans="1:15" x14ac:dyDescent="0.35">
      <c r="A15" s="34" t="s">
        <v>32</v>
      </c>
      <c r="B15" s="34" t="s">
        <v>29</v>
      </c>
      <c r="C15" s="35">
        <v>38</v>
      </c>
      <c r="D15" s="7"/>
      <c r="E15" s="7"/>
      <c r="F15" s="7"/>
      <c r="G15" s="7"/>
      <c r="H15" s="7"/>
      <c r="I15" s="7"/>
      <c r="J15" s="7"/>
      <c r="K15" s="7"/>
      <c r="L15" s="8">
        <f t="shared" si="0"/>
        <v>0</v>
      </c>
      <c r="M15" s="8">
        <f t="shared" si="1"/>
        <v>38</v>
      </c>
      <c r="N15" s="8">
        <f t="shared" si="2"/>
        <v>11</v>
      </c>
      <c r="O15" s="8">
        <f t="shared" si="3"/>
        <v>282</v>
      </c>
    </row>
    <row r="16" spans="1:15" x14ac:dyDescent="0.35">
      <c r="A16" s="36" t="s">
        <v>33</v>
      </c>
      <c r="B16" s="36" t="s">
        <v>31</v>
      </c>
      <c r="C16" s="37">
        <v>27</v>
      </c>
      <c r="D16" s="7"/>
      <c r="E16" s="7"/>
      <c r="F16" s="7"/>
      <c r="G16" s="7"/>
      <c r="H16" s="7"/>
      <c r="I16" s="7"/>
      <c r="J16" s="7"/>
      <c r="K16" s="7"/>
      <c r="L16" s="8">
        <f t="shared" si="0"/>
        <v>0</v>
      </c>
      <c r="M16" s="8">
        <f t="shared" si="1"/>
        <v>27</v>
      </c>
      <c r="N16" s="8">
        <f t="shared" si="2"/>
        <v>12</v>
      </c>
      <c r="O16" s="8">
        <f t="shared" si="3"/>
        <v>293</v>
      </c>
    </row>
    <row r="17" spans="1:15" x14ac:dyDescent="0.35">
      <c r="A17" s="34" t="s">
        <v>34</v>
      </c>
      <c r="B17" s="34" t="s">
        <v>35</v>
      </c>
      <c r="C17" s="35">
        <v>20</v>
      </c>
      <c r="D17" s="7"/>
      <c r="E17" s="7"/>
      <c r="F17" s="7"/>
      <c r="G17" s="7"/>
      <c r="H17" s="7"/>
      <c r="I17" s="7"/>
      <c r="J17" s="7"/>
      <c r="K17" s="7"/>
      <c r="L17" s="8">
        <f t="shared" si="0"/>
        <v>0</v>
      </c>
      <c r="M17" s="8">
        <f t="shared" si="1"/>
        <v>20</v>
      </c>
      <c r="N17" s="8">
        <f t="shared" si="2"/>
        <v>13</v>
      </c>
      <c r="O17" s="8">
        <f t="shared" si="3"/>
        <v>300</v>
      </c>
    </row>
    <row r="18" spans="1:15" x14ac:dyDescent="0.35">
      <c r="A18" s="36" t="s">
        <v>36</v>
      </c>
      <c r="B18" s="36" t="s">
        <v>37</v>
      </c>
      <c r="C18" s="37">
        <v>10</v>
      </c>
      <c r="D18" s="7"/>
      <c r="E18" s="7"/>
      <c r="F18" s="7"/>
      <c r="G18" s="7"/>
      <c r="H18" s="7"/>
      <c r="I18" s="7"/>
      <c r="J18" s="7"/>
      <c r="K18" s="7"/>
      <c r="L18" s="8">
        <f t="shared" si="0"/>
        <v>0</v>
      </c>
      <c r="M18" s="8">
        <f t="shared" si="1"/>
        <v>10</v>
      </c>
      <c r="N18" s="8">
        <f t="shared" si="2"/>
        <v>14</v>
      </c>
      <c r="O18" s="8">
        <f t="shared" si="3"/>
        <v>310</v>
      </c>
    </row>
    <row r="19" spans="1:15" x14ac:dyDescent="0.35">
      <c r="A19" s="34" t="s">
        <v>38</v>
      </c>
      <c r="B19" s="34" t="s">
        <v>37</v>
      </c>
      <c r="C19" s="35">
        <v>7</v>
      </c>
      <c r="D19" s="7"/>
      <c r="E19" s="7"/>
      <c r="F19" s="7"/>
      <c r="G19" s="7"/>
      <c r="H19" s="7"/>
      <c r="I19" s="7"/>
      <c r="J19" s="7"/>
      <c r="K19" s="7"/>
      <c r="L19" s="8">
        <f t="shared" si="0"/>
        <v>0</v>
      </c>
      <c r="M19" s="8">
        <f t="shared" si="1"/>
        <v>7</v>
      </c>
      <c r="N19" s="8">
        <f t="shared" si="2"/>
        <v>15</v>
      </c>
      <c r="O19" s="8">
        <f t="shared" si="3"/>
        <v>313</v>
      </c>
    </row>
    <row r="20" spans="1:15" x14ac:dyDescent="0.35">
      <c r="A20" s="36" t="s">
        <v>39</v>
      </c>
      <c r="B20" s="36" t="s">
        <v>35</v>
      </c>
      <c r="C20" s="37">
        <v>7</v>
      </c>
      <c r="D20" s="7"/>
      <c r="E20" s="7"/>
      <c r="F20" s="7"/>
      <c r="G20" s="7"/>
      <c r="H20" s="7"/>
      <c r="I20" s="7"/>
      <c r="J20" s="7"/>
      <c r="K20" s="7"/>
      <c r="L20" s="8">
        <f t="shared" si="0"/>
        <v>0</v>
      </c>
      <c r="M20" s="8">
        <f t="shared" si="1"/>
        <v>7</v>
      </c>
      <c r="N20" s="8">
        <f t="shared" si="2"/>
        <v>15</v>
      </c>
      <c r="O20" s="8">
        <f t="shared" si="3"/>
        <v>313</v>
      </c>
    </row>
    <row r="21" spans="1:15" x14ac:dyDescent="0.35">
      <c r="A21" s="34" t="s">
        <v>40</v>
      </c>
      <c r="B21" s="34" t="s">
        <v>41</v>
      </c>
      <c r="C21" s="35">
        <v>7</v>
      </c>
      <c r="D21" s="7"/>
      <c r="E21" s="7"/>
      <c r="F21" s="7"/>
      <c r="G21" s="7"/>
      <c r="H21" s="7"/>
      <c r="I21" s="7"/>
      <c r="J21" s="7"/>
      <c r="K21" s="7"/>
      <c r="L21" s="8">
        <f t="shared" si="0"/>
        <v>0</v>
      </c>
      <c r="M21" s="8">
        <f t="shared" si="1"/>
        <v>7</v>
      </c>
      <c r="N21" s="8">
        <f t="shared" si="2"/>
        <v>15</v>
      </c>
      <c r="O21" s="8">
        <f t="shared" si="3"/>
        <v>313</v>
      </c>
    </row>
    <row r="22" spans="1:15" x14ac:dyDescent="0.35">
      <c r="A22" s="36" t="s">
        <v>42</v>
      </c>
      <c r="B22" s="36" t="s">
        <v>43</v>
      </c>
      <c r="C22" s="37">
        <v>7</v>
      </c>
      <c r="D22" s="7"/>
      <c r="E22" s="7"/>
      <c r="F22" s="7"/>
      <c r="G22" s="7"/>
      <c r="H22" s="7"/>
      <c r="I22" s="7"/>
      <c r="J22" s="7"/>
      <c r="K22" s="7"/>
      <c r="L22" s="8">
        <f t="shared" si="0"/>
        <v>0</v>
      </c>
      <c r="M22" s="8">
        <f t="shared" si="1"/>
        <v>7</v>
      </c>
      <c r="N22" s="8">
        <f t="shared" si="2"/>
        <v>15</v>
      </c>
      <c r="O22" s="8">
        <f t="shared" si="3"/>
        <v>313</v>
      </c>
    </row>
    <row r="23" spans="1:15" x14ac:dyDescent="0.35">
      <c r="A23" s="34" t="s">
        <v>44</v>
      </c>
      <c r="B23" s="34" t="s">
        <v>43</v>
      </c>
      <c r="C23" s="35">
        <v>5</v>
      </c>
      <c r="D23" s="7"/>
      <c r="E23" s="7"/>
      <c r="F23" s="7"/>
      <c r="G23" s="7"/>
      <c r="H23" s="7"/>
      <c r="I23" s="7"/>
      <c r="J23" s="7"/>
      <c r="K23" s="7"/>
      <c r="L23" s="8">
        <f t="shared" si="0"/>
        <v>0</v>
      </c>
      <c r="M23" s="8">
        <f t="shared" si="1"/>
        <v>5</v>
      </c>
      <c r="N23" s="8">
        <f t="shared" si="2"/>
        <v>19</v>
      </c>
      <c r="O23" s="8">
        <f t="shared" si="3"/>
        <v>315</v>
      </c>
    </row>
    <row r="24" spans="1:15" x14ac:dyDescent="0.35">
      <c r="A24" s="36" t="s">
        <v>45</v>
      </c>
      <c r="B24" s="36" t="s">
        <v>29</v>
      </c>
      <c r="C24" s="37">
        <v>1</v>
      </c>
      <c r="D24" s="7"/>
      <c r="E24" s="7"/>
      <c r="F24" s="7"/>
      <c r="G24" s="7"/>
      <c r="H24" s="7"/>
      <c r="I24" s="7"/>
      <c r="J24" s="7"/>
      <c r="K24" s="7"/>
      <c r="L24" s="8">
        <f t="shared" si="0"/>
        <v>0</v>
      </c>
      <c r="M24" s="8">
        <f t="shared" si="1"/>
        <v>1</v>
      </c>
      <c r="N24" s="8">
        <f t="shared" si="2"/>
        <v>20</v>
      </c>
      <c r="O24" s="8">
        <f t="shared" si="3"/>
        <v>319</v>
      </c>
    </row>
    <row r="25" spans="1:15" x14ac:dyDescent="0.35">
      <c r="A25" s="34" t="s">
        <v>46</v>
      </c>
      <c r="B25" s="34" t="s">
        <v>41</v>
      </c>
      <c r="C25" s="35">
        <v>0</v>
      </c>
      <c r="D25" s="7"/>
      <c r="E25" s="7"/>
      <c r="F25" s="7"/>
      <c r="G25" s="7"/>
      <c r="H25" s="7"/>
      <c r="I25" s="7"/>
      <c r="J25" s="7"/>
      <c r="K25" s="7"/>
      <c r="L25" s="8">
        <f t="shared" si="0"/>
        <v>0</v>
      </c>
      <c r="M25" s="8">
        <f t="shared" si="1"/>
        <v>0</v>
      </c>
      <c r="N25" s="8">
        <f t="shared" si="2"/>
        <v>21</v>
      </c>
      <c r="O25" s="8">
        <f t="shared" si="3"/>
        <v>320</v>
      </c>
    </row>
    <row r="26" spans="1:15" x14ac:dyDescent="0.35">
      <c r="A26" s="36" t="s">
        <v>47</v>
      </c>
      <c r="B26" s="36" t="s">
        <v>48</v>
      </c>
      <c r="C26" s="37">
        <v>0</v>
      </c>
      <c r="D26" s="7"/>
      <c r="E26" s="7"/>
      <c r="F26" s="7"/>
      <c r="G26" s="7"/>
      <c r="H26" s="7"/>
      <c r="I26" s="7"/>
      <c r="J26" s="7"/>
      <c r="K26" s="7"/>
      <c r="L26" s="8">
        <f t="shared" si="0"/>
        <v>0</v>
      </c>
      <c r="M26" s="8">
        <f t="shared" si="1"/>
        <v>0</v>
      </c>
      <c r="N26" s="8">
        <f t="shared" si="2"/>
        <v>21</v>
      </c>
      <c r="O26" s="8">
        <f t="shared" si="3"/>
        <v>320</v>
      </c>
    </row>
    <row r="27" spans="1:15" x14ac:dyDescent="0.35">
      <c r="A27" s="34" t="s">
        <v>49</v>
      </c>
      <c r="B27" s="34" t="s">
        <v>48</v>
      </c>
      <c r="C27" s="35">
        <v>0</v>
      </c>
      <c r="D27" s="7"/>
      <c r="E27" s="7"/>
      <c r="F27" s="7"/>
      <c r="G27" s="7"/>
      <c r="H27" s="7"/>
      <c r="I27" s="7"/>
      <c r="J27" s="7"/>
      <c r="K27" s="7"/>
      <c r="L27" s="8">
        <f t="shared" si="0"/>
        <v>0</v>
      </c>
      <c r="M27" s="8">
        <f t="shared" si="1"/>
        <v>0</v>
      </c>
      <c r="N27" s="8">
        <f t="shared" si="2"/>
        <v>21</v>
      </c>
      <c r="O27" s="8">
        <f t="shared" si="3"/>
        <v>320</v>
      </c>
    </row>
    <row r="30" spans="1:15" x14ac:dyDescent="0.35">
      <c r="A30" s="11"/>
    </row>
    <row r="31" spans="1:15" ht="30" customHeight="1" x14ac:dyDescent="0.35">
      <c r="A31" s="12"/>
    </row>
    <row r="32" spans="1:15" ht="30" customHeight="1" x14ac:dyDescent="0.35">
      <c r="A32" s="12"/>
    </row>
  </sheetData>
  <autoFilter ref="A4:O27" xr:uid="{00000000-0009-0000-0000-000000000000}"/>
  <mergeCells count="2">
    <mergeCell ref="A1:O1"/>
    <mergeCell ref="A2:O2"/>
  </mergeCells>
  <conditionalFormatting sqref="M5:M27">
    <cfRule type="cellIs" dxfId="8" priority="2" operator="equal">
      <formula>MAX($M$5:$M$27)</formula>
    </cfRule>
  </conditionalFormatting>
  <conditionalFormatting sqref="O5:O27">
    <cfRule type="cellIs" dxfId="7" priority="3" operator="equal">
      <formula>0</formula>
    </cfRule>
  </conditionalFormatting>
  <dataValidations count="1">
    <dataValidation type="whole" allowBlank="1" showErrorMessage="1" errorTitle="Invalid finishing position" error="Enter a whole number from 0 to 20." promptTitle="Race finishing position" prompt="Enter 1–20; use 0 for no points / DNF." sqref="D5:K27" xr:uid="{00000000-0002-0000-0000-000000000000}">
      <formula1>0</formula1>
      <formula2>20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showGridLines="0" zoomScaleNormal="100" workbookViewId="0">
      <selection activeCell="H18" sqref="H18"/>
    </sheetView>
  </sheetViews>
  <sheetFormatPr defaultColWidth="8.6328125" defaultRowHeight="14.5" x14ac:dyDescent="0.35"/>
  <cols>
    <col min="1" max="1" width="22" customWidth="1"/>
    <col min="2" max="2" width="12" customWidth="1"/>
    <col min="4" max="4" width="22" customWidth="1"/>
    <col min="5" max="5" width="12" customWidth="1"/>
  </cols>
  <sheetData>
    <row r="1" spans="1:5" x14ac:dyDescent="0.35">
      <c r="A1" s="13" t="s">
        <v>50</v>
      </c>
      <c r="D1" s="13" t="s">
        <v>51</v>
      </c>
    </row>
    <row r="2" spans="1:5" x14ac:dyDescent="0.35">
      <c r="A2" s="14" t="s">
        <v>52</v>
      </c>
      <c r="B2" s="14" t="s">
        <v>12</v>
      </c>
      <c r="C2" s="14"/>
      <c r="D2" s="14" t="s">
        <v>52</v>
      </c>
      <c r="E2" s="14" t="s">
        <v>12</v>
      </c>
    </row>
    <row r="3" spans="1:5" x14ac:dyDescent="0.35">
      <c r="A3" s="14">
        <v>1</v>
      </c>
      <c r="B3" s="14">
        <v>25</v>
      </c>
      <c r="C3" s="14"/>
      <c r="D3" s="14">
        <v>1</v>
      </c>
      <c r="E3" s="14">
        <v>8</v>
      </c>
    </row>
    <row r="4" spans="1:5" x14ac:dyDescent="0.35">
      <c r="A4" s="14">
        <v>2</v>
      </c>
      <c r="B4" s="14">
        <v>18</v>
      </c>
      <c r="C4" s="14"/>
      <c r="D4" s="14">
        <v>2</v>
      </c>
      <c r="E4" s="14">
        <v>7</v>
      </c>
    </row>
    <row r="5" spans="1:5" x14ac:dyDescent="0.35">
      <c r="A5" s="14">
        <v>3</v>
      </c>
      <c r="B5" s="14">
        <v>15</v>
      </c>
      <c r="C5" s="14"/>
      <c r="D5" s="14">
        <v>3</v>
      </c>
      <c r="E5" s="14">
        <v>6</v>
      </c>
    </row>
    <row r="6" spans="1:5" x14ac:dyDescent="0.35">
      <c r="A6" s="14">
        <v>4</v>
      </c>
      <c r="B6" s="14">
        <v>12</v>
      </c>
      <c r="C6" s="14"/>
      <c r="D6" s="14">
        <v>4</v>
      </c>
      <c r="E6" s="14">
        <v>5</v>
      </c>
    </row>
    <row r="7" spans="1:5" x14ac:dyDescent="0.35">
      <c r="A7" s="14">
        <v>5</v>
      </c>
      <c r="B7" s="14">
        <v>10</v>
      </c>
      <c r="C7" s="14"/>
      <c r="D7" s="14">
        <v>5</v>
      </c>
      <c r="E7" s="14">
        <v>4</v>
      </c>
    </row>
    <row r="8" spans="1:5" x14ac:dyDescent="0.35">
      <c r="A8" s="14">
        <v>6</v>
      </c>
      <c r="B8" s="14">
        <v>8</v>
      </c>
      <c r="C8" s="14"/>
      <c r="D8" s="14">
        <v>6</v>
      </c>
      <c r="E8" s="14">
        <v>3</v>
      </c>
    </row>
    <row r="9" spans="1:5" x14ac:dyDescent="0.35">
      <c r="A9" s="14">
        <v>7</v>
      </c>
      <c r="B9" s="14">
        <v>6</v>
      </c>
      <c r="C9" s="14"/>
      <c r="D9" s="14">
        <v>7</v>
      </c>
      <c r="E9" s="14">
        <v>2</v>
      </c>
    </row>
    <row r="10" spans="1:5" x14ac:dyDescent="0.35">
      <c r="A10" s="14">
        <v>8</v>
      </c>
      <c r="B10" s="14">
        <v>4</v>
      </c>
      <c r="C10" s="14"/>
      <c r="D10" s="14">
        <v>8</v>
      </c>
      <c r="E10" s="14">
        <v>1</v>
      </c>
    </row>
    <row r="11" spans="1:5" x14ac:dyDescent="0.35">
      <c r="A11" s="14">
        <v>9</v>
      </c>
      <c r="B11" s="14">
        <v>2</v>
      </c>
      <c r="C11" s="14"/>
      <c r="D11" s="14">
        <v>9</v>
      </c>
      <c r="E11" s="14">
        <v>0</v>
      </c>
    </row>
    <row r="12" spans="1:5" x14ac:dyDescent="0.35">
      <c r="A12" s="14">
        <v>10</v>
      </c>
      <c r="B12" s="14">
        <v>1</v>
      </c>
      <c r="C12" s="14"/>
      <c r="D12" s="14">
        <v>10</v>
      </c>
      <c r="E12" s="14">
        <v>0</v>
      </c>
    </row>
    <row r="13" spans="1:5" x14ac:dyDescent="0.35">
      <c r="A13" s="14">
        <v>11</v>
      </c>
      <c r="B13" s="14">
        <v>0</v>
      </c>
      <c r="C13" s="14"/>
      <c r="D13" s="14">
        <v>11</v>
      </c>
      <c r="E13" s="14">
        <v>0</v>
      </c>
    </row>
    <row r="14" spans="1:5" x14ac:dyDescent="0.35">
      <c r="A14" s="14">
        <v>12</v>
      </c>
      <c r="B14" s="14">
        <v>0</v>
      </c>
      <c r="C14" s="14"/>
      <c r="D14" s="14">
        <v>12</v>
      </c>
      <c r="E14" s="14">
        <v>0</v>
      </c>
    </row>
    <row r="15" spans="1:5" x14ac:dyDescent="0.35">
      <c r="A15" s="14">
        <v>13</v>
      </c>
      <c r="B15" s="14">
        <v>0</v>
      </c>
      <c r="C15" s="14"/>
      <c r="D15" s="14">
        <v>13</v>
      </c>
      <c r="E15" s="14">
        <v>0</v>
      </c>
    </row>
    <row r="16" spans="1:5" x14ac:dyDescent="0.35">
      <c r="A16" s="14">
        <v>14</v>
      </c>
      <c r="B16" s="14">
        <v>0</v>
      </c>
      <c r="C16" s="14"/>
      <c r="D16" s="14">
        <v>14</v>
      </c>
      <c r="E16" s="14">
        <v>0</v>
      </c>
    </row>
    <row r="17" spans="1:5" x14ac:dyDescent="0.35">
      <c r="A17" s="14">
        <v>15</v>
      </c>
      <c r="B17" s="14">
        <v>0</v>
      </c>
      <c r="C17" s="14"/>
      <c r="D17" s="14">
        <v>15</v>
      </c>
      <c r="E17" s="14">
        <v>0</v>
      </c>
    </row>
    <row r="18" spans="1:5" x14ac:dyDescent="0.35">
      <c r="A18" s="14">
        <v>16</v>
      </c>
      <c r="B18" s="14">
        <v>0</v>
      </c>
      <c r="C18" s="14"/>
      <c r="D18" s="14">
        <v>16</v>
      </c>
      <c r="E18" s="14">
        <v>0</v>
      </c>
    </row>
    <row r="19" spans="1:5" x14ac:dyDescent="0.35">
      <c r="A19" s="14">
        <v>17</v>
      </c>
      <c r="B19" s="14">
        <v>0</v>
      </c>
      <c r="C19" s="14"/>
      <c r="D19" s="14">
        <v>17</v>
      </c>
      <c r="E19" s="14">
        <v>0</v>
      </c>
    </row>
    <row r="20" spans="1:5" x14ac:dyDescent="0.35">
      <c r="A20" s="14">
        <v>18</v>
      </c>
      <c r="B20" s="14">
        <v>0</v>
      </c>
      <c r="C20" s="14"/>
      <c r="D20" s="14">
        <v>18</v>
      </c>
      <c r="E20" s="14">
        <v>0</v>
      </c>
    </row>
    <row r="21" spans="1:5" x14ac:dyDescent="0.35">
      <c r="A21" s="14">
        <v>19</v>
      </c>
      <c r="B21" s="14">
        <v>0</v>
      </c>
      <c r="C21" s="14"/>
      <c r="D21" s="14">
        <v>19</v>
      </c>
      <c r="E21" s="14">
        <v>0</v>
      </c>
    </row>
    <row r="22" spans="1:5" x14ac:dyDescent="0.35">
      <c r="A22" s="14">
        <v>20</v>
      </c>
      <c r="B22" s="14">
        <v>0</v>
      </c>
      <c r="C22" s="14"/>
      <c r="D22" s="14">
        <v>20</v>
      </c>
      <c r="E22" s="14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Title Race</vt:lpstr>
      <vt:lpstr>F1 Championship</vt:lpstr>
      <vt:lpstr>Points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Jenny Happas</cp:lastModifiedBy>
  <cp:revision>1</cp:revision>
  <dcterms:created xsi:type="dcterms:W3CDTF">2026-10-09T18:32:59Z</dcterms:created>
  <dcterms:modified xsi:type="dcterms:W3CDTF">2026-10-09T20:00:53Z</dcterms:modified>
  <dc:language>en-US</dc:language>
</cp:coreProperties>
</file>